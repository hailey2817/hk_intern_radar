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Opportunities" sheetId="2" state="visible" r:id="rId2"/>
    <sheet xmlns:r="http://schemas.openxmlformats.org/officeDocument/2006/relationships" name="Application Pipeline" sheetId="3" state="visible" r:id="rId3"/>
    <sheet xmlns:r="http://schemas.openxmlformats.org/officeDocument/2006/relationships" name="Document Checklist" sheetId="4" state="visible" r:id="rId4"/>
    <sheet xmlns:r="http://schemas.openxmlformats.org/officeDocument/2006/relationships" name="Company Watchlist" sheetId="5" state="visible" r:id="rId5"/>
    <sheet xmlns:r="http://schemas.openxmlformats.org/officeDocument/2006/relationships" name="Read Me" sheetId="6" state="visible" r:id="rId6"/>
  </sheets>
  <definedNames>
    <definedName name="_xlnm._FilterDatabase" localSheetId="1" hidden="1">'Opportunities'!$A$1:$V$18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Calibri"/>
      <family val="2"/>
      <color theme="1"/>
      <sz val="11"/>
      <scheme val="minor"/>
    </font>
    <font>
      <b val="1"/>
      <color rgb="00FFFFFF"/>
      <sz val="20"/>
    </font>
    <font>
      <color rgb="006B7280"/>
      <sz val="10"/>
    </font>
    <font>
      <b val="1"/>
      <color rgb="006B7280"/>
    </font>
    <font>
      <b val="1"/>
      <color rgb="0017324D"/>
      <sz val="22"/>
    </font>
    <font>
      <b val="1"/>
      <color rgb="0017324D"/>
      <sz val="14"/>
    </font>
    <font>
      <b val="1"/>
      <color rgb="00FFFFFF"/>
    </font>
    <font>
      <name val="Calibri"/>
      <family val="2"/>
      <color theme="10"/>
      <sz val="12"/>
      <scheme val="minor"/>
    </font>
    <font>
      <b val="1"/>
      <color rgb="0017324D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087E8B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2">
    <xf numFmtId="0" fontId="0" fillId="0" borderId="0"/>
    <xf numFmtId="0" fontId="7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pivotButton="0" quotePrefix="0" xfId="0"/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6" fillId="2" borderId="1" applyAlignment="1" pivotButton="0" quotePrefix="0" xfId="0">
      <alignment vertical="top" wrapText="1"/>
    </xf>
    <xf numFmtId="0" fontId="7" fillId="0" borderId="1" applyAlignment="1" pivotButton="0" quotePrefix="0" xfId="1">
      <alignment vertical="top" wrapText="1"/>
    </xf>
    <xf numFmtId="164" fontId="0" fillId="0" borderId="1" pivotButton="0" quotePrefix="0" xfId="0"/>
    <xf numFmtId="0" fontId="8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3">
    <dxf>
      <fill>
        <patternFill patternType="solid">
          <fgColor rgb="00FADBD8"/>
        </patternFill>
      </fill>
    </dxf>
    <dxf>
      <fill>
        <patternFill patternType="solid">
          <fgColor rgb="00FFF1C7"/>
        </patternFill>
      </fill>
    </dxf>
    <dxf>
      <fill>
        <patternFill patternType="solid">
          <fgColor rgb="00DDF2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OpportunityTable" displayName="OpportunityTable" ref="A1:V18" headerRowCount="1">
  <autoFilter ref="A1:V18"/>
  <tableColumns count="22">
    <tableColumn id="1" name="ID"/>
    <tableColumn id="2" name="Category"/>
    <tableColumn id="3" name="Company"/>
    <tableColumn id="4" name="Program / Role"/>
    <tableColumn id="5" name="Season"/>
    <tableColumn id="6" name="Location"/>
    <tableColumn id="7" name="Application Status"/>
    <tableColumn id="8" name="Opening Date"/>
    <tableColumn id="9" name="Closing Date"/>
    <tableColumn id="10" name="Deadline Time Zone"/>
    <tableColumn id="11" name="Rolling?"/>
    <tableColumn id="12" name="Placement Timeline"/>
    <tableColumn id="13" name="Deadline Alert"/>
    <tableColumn id="14" name="Next Action"/>
    <tableColumn id="15" name="Job Description"/>
    <tableColumn id="16" name="Requirements"/>
    <tableColumn id="17" name="Language / Work Rights"/>
    <tableColumn id="18" name="Recruitment Stages"/>
    <tableColumn id="19" name="Document Checklist"/>
    <tableColumn id="20" name="Official Application / Source"/>
    <tableColumn id="21" name="Date Confidence"/>
    <tableColumn id="22" name="Notes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PipelineTable" displayName="PipelineTable" ref="A1:K18" headerRowCount="1">
  <autoFilter ref="A1:K18"/>
  <tableColumns count="11">
    <tableColumn id="1" name="Opportunity ID"/>
    <tableColumn id="2" name="Company"/>
    <tableColumn id="3" name="Program / Role"/>
    <tableColumn id="4" name="Category"/>
    <tableColumn id="5" name="Pipeline Status"/>
    <tableColumn id="6" name="Priority"/>
    <tableColumn id="7" name="Owner"/>
    <tableColumn id="8" name="Last Updated"/>
    <tableColumn id="9" name="Next Task"/>
    <tableColumn id="10" name="Next Task Due"/>
    <tableColumn id="11" name="Notes"/>
  </tableColumns>
  <tableStyleInfo name="TableStyleMedium4" showRowStripes="1"/>
</table>
</file>

<file path=xl/tables/table3.xml><?xml version="1.0" encoding="utf-8"?>
<table xmlns="http://schemas.openxmlformats.org/spreadsheetml/2006/main" id="3" name="DocumentTable" displayName="DocumentTable" ref="A1:E13" headerRowCount="1">
  <autoFilter ref="A1:E13"/>
  <tableColumns count="5">
    <tableColumn id="1" name="Document / Task"/>
    <tableColumn id="2" name="Category"/>
    <tableColumn id="3" name="Readiness"/>
    <tableColumn id="4" name="Action"/>
    <tableColumn id="5" name="Target Date"/>
  </tableColumns>
  <tableStyleInfo name="TableStyleMedium9" showRowStripes="1"/>
</table>
</file>

<file path=xl/tables/table4.xml><?xml version="1.0" encoding="utf-8"?>
<table xmlns="http://schemas.openxmlformats.org/spreadsheetml/2006/main" id="4" name="CompanyTable" displayName="CompanyTable" ref="A1:E15" headerRowCount="1">
  <autoFilter ref="A1:E15"/>
  <tableColumns count="5">
    <tableColumn id="1" name="Category"/>
    <tableColumn id="2" name="Company"/>
    <tableColumn id="3" name="Current Tracker Status"/>
    <tableColumn id="4" name="Official Careers / Programme Link"/>
    <tableColumn id="5" name="Monitoring No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apply.careers.hsbc.com/emergingtalent/job/Central-Investment-Banking-Internship-Hong/1365768357/" TargetMode="External" Id="rId1"/><Relationship Type="http://schemas.openxmlformats.org/officeDocument/2006/relationships/hyperlink" Target="https://www.hsbc.com/careers/students-and-graduates/find-a-programme?programme-type=internship-programme" TargetMode="External" Id="rId2"/><Relationship Type="http://schemas.openxmlformats.org/officeDocument/2006/relationships/hyperlink" Target="https://www.hsbc.com/careers/students-and-graduates/find-a-programme?programme-type=internship-programme" TargetMode="External" Id="rId3"/><Relationship Type="http://schemas.openxmlformats.org/officeDocument/2006/relationships/hyperlink" Target="https://www.hsbc.com/careers/students-and-graduates/find-a-programme?programme-type=internship-programme" TargetMode="External" Id="rId4"/><Relationship Type="http://schemas.openxmlformats.org/officeDocument/2006/relationships/hyperlink" Target="https://www.goldmansachs.com/careers/students/programs-and-internships/asia-pacific/summer-analyst" TargetMode="External" Id="rId5"/><Relationship Type="http://schemas.openxmlformats.org/officeDocument/2006/relationships/hyperlink" Target="https://careers.bankofamerica.com/en-us/students/job-detail/14375/global-capital-markets-summer-analyst-2027-hong-kong-hong-kong-hong-kong" TargetMode="External" Id="rId6"/><Relationship Type="http://schemas.openxmlformats.org/officeDocument/2006/relationships/hyperlink" Target="https://careers.jpmorgan.com/US/en/students/programs/investment-banking-seasonal-analyst" TargetMode="External" Id="rId7"/><Relationship Type="http://schemas.openxmlformats.org/officeDocument/2006/relationships/hyperlink" Target="https://www.deloitte.com/cn/en/careers/explore-your-fit/students/internship-program.html?icid=toggle_cn_en" TargetMode="External" Id="rId8"/><Relationship Type="http://schemas.openxmlformats.org/officeDocument/2006/relationships/hyperlink" Target="https://kpmg.com/cn/en/careers/campus/basecamp.html" TargetMode="External" Id="rId9"/><Relationship Type="http://schemas.openxmlformats.org/officeDocument/2006/relationships/hyperlink" Target="https://www.bain.com/careers/work-with-us/internships-programs/" TargetMode="External" Id="rId10"/><Relationship Type="http://schemas.openxmlformats.org/officeDocument/2006/relationships/hyperlink" Target="https://www.mckinsey.com/careers/students/en" TargetMode="External" Id="rId11"/><Relationship Type="http://schemas.openxmlformats.org/officeDocument/2006/relationships/hyperlink" Target="https://careers.cathaypacific.com/our-teams/future-talent" TargetMode="External" Id="rId12"/><Relationship Type="http://schemas.openxmlformats.org/officeDocument/2006/relationships/hyperlink" Target="https://careers.dhl.com/apac/en/students-graduates" TargetMode="External" Id="rId13"/><Relationship Type="http://schemas.openxmlformats.org/officeDocument/2006/relationships/hyperlink" Target="https://careers.swire.com/en/careers/swire-summer-internship-programme" TargetMode="External" Id="rId14"/><Relationship Type="http://schemas.openxmlformats.org/officeDocument/2006/relationships/hyperlink" Target="https://www.hkexgroup.com/About-HKEX/Careers-at-HKEX/Early-Careers?sc_lang=en" TargetMode="External" Id="rId15"/><Relationship Type="http://schemas.openxmlformats.org/officeDocument/2006/relationships/hyperlink" Target="https://hksfc.org/TC/Career/Why-the-SFC/Join-us-as-an-Intern/Summer-and-Winter-Internship-Programme?sc_lang=en" TargetMode="External" Id="rId16"/><Relationship Type="http://schemas.openxmlformats.org/officeDocument/2006/relationships/hyperlink" Target="https://www.ao-recruitment.gov.hk/english/summer_intern.html" TargetMode="External" Id="rId17"/><Relationship Type="http://schemas.openxmlformats.org/officeDocument/2006/relationships/table" Target="/xl/tables/table1.xml" Id="rId18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www.bain.com/careers/work-with-us/internships-programs/" TargetMode="External" Id="rId1"/><Relationship Type="http://schemas.openxmlformats.org/officeDocument/2006/relationships/hyperlink" Target="https://www.deloitte.com/cn/en/careers/explore-your-fit/students/internship-program.html?icid=toggle_cn_en" TargetMode="External" Id="rId2"/><Relationship Type="http://schemas.openxmlformats.org/officeDocument/2006/relationships/hyperlink" Target="https://kpmg.com/cn/en/careers/campus/basecamp.html" TargetMode="External" Id="rId3"/><Relationship Type="http://schemas.openxmlformats.org/officeDocument/2006/relationships/hyperlink" Target="https://www.mckinsey.com/careers/students/en" TargetMode="External" Id="rId4"/><Relationship Type="http://schemas.openxmlformats.org/officeDocument/2006/relationships/hyperlink" Target="https://www.hkexgroup.com/About-HKEX/Careers-at-HKEX/Early-Careers?sc_lang=en" TargetMode="External" Id="rId5"/><Relationship Type="http://schemas.openxmlformats.org/officeDocument/2006/relationships/hyperlink" Target="https://www.ao-recruitment.gov.hk/english/summer_intern.html" TargetMode="External" Id="rId6"/><Relationship Type="http://schemas.openxmlformats.org/officeDocument/2006/relationships/hyperlink" Target="https://hksfc.org/TC/Career/Why-the-SFC/Join-us-as-an-Intern/Summer-and-Winter-Internship-Programme?sc_lang=en" TargetMode="External" Id="rId7"/><Relationship Type="http://schemas.openxmlformats.org/officeDocument/2006/relationships/hyperlink" Target="https://careers.swire.com/en/careers/swire-summer-internship-programme" TargetMode="External" Id="rId8"/><Relationship Type="http://schemas.openxmlformats.org/officeDocument/2006/relationships/hyperlink" Target="https://careers.bankofamerica.com/en-us/students/job-detail/14375/global-capital-markets-summer-analyst-2027-hong-kong-hong-kong-hong-kong" TargetMode="External" Id="rId9"/><Relationship Type="http://schemas.openxmlformats.org/officeDocument/2006/relationships/hyperlink" Target="https://www.goldmansachs.com/careers/students/programs-and-internships/asia-pacific/summer-analyst" TargetMode="External" Id="rId10"/><Relationship Type="http://schemas.openxmlformats.org/officeDocument/2006/relationships/hyperlink" Target="https://apply.careers.hsbc.com/emergingtalent/job/Central-Investment-Banking-Internship-Hong/1365768357/" TargetMode="External" Id="rId11"/><Relationship Type="http://schemas.openxmlformats.org/officeDocument/2006/relationships/hyperlink" Target="https://careers.jpmorgan.com/US/en/students/programs/investment-banking-seasonal-analyst" TargetMode="External" Id="rId12"/><Relationship Type="http://schemas.openxmlformats.org/officeDocument/2006/relationships/hyperlink" Target="https://careers.cathaypacific.com/our-teams/future-talent" TargetMode="External" Id="rId13"/><Relationship Type="http://schemas.openxmlformats.org/officeDocument/2006/relationships/hyperlink" Target="https://careers.dhl.com/apac/en/students-graduates" TargetMode="External" Id="rId14"/><Relationship Type="http://schemas.openxmlformats.org/officeDocument/2006/relationships/table" Target="/xl/tables/table4.xm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5" customWidth="1" min="1" max="1"/>
    <col width="32" customWidth="1" min="2" max="2"/>
    <col width="25" customWidth="1" min="3" max="3"/>
    <col width="30" customWidth="1" min="4" max="4"/>
    <col width="17" customWidth="1" min="5" max="5"/>
    <col width="38" customWidth="1" min="6" max="6"/>
    <col width="22" customWidth="1" min="7" max="7"/>
    <col width="22" customWidth="1" min="8" max="8"/>
  </cols>
  <sheetData>
    <row r="1" ht="34" customHeight="1">
      <c r="A1" s="1" t="inlineStr">
        <is>
          <t>Hong Kong 2027 Internship Tracker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Profile: 2028 business/finance graduate | HK work rights | English, Cantonese and Mandarin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Category selector</t>
        </is>
      </c>
      <c r="B4" s="4" t="inlineStr">
        <is>
          <t>All</t>
        </is>
      </c>
      <c r="C4" s="2" t="n"/>
      <c r="D4" s="2" t="n"/>
      <c r="E4" s="2" t="n"/>
      <c r="F4" s="2" t="n"/>
      <c r="G4" s="2" t="n"/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5" t="inlineStr">
        <is>
          <t>Tracked opportunities</t>
        </is>
      </c>
      <c r="B6" s="2" t="n"/>
      <c r="C6" s="5" t="inlineStr">
        <is>
          <t>Open now</t>
        </is>
      </c>
      <c r="D6" s="2" t="n"/>
      <c r="E6" s="5" t="inlineStr">
        <is>
          <t>Upcoming</t>
        </is>
      </c>
      <c r="F6" s="2" t="n"/>
      <c r="G6" s="5" t="inlineStr">
        <is>
          <t>Needs monitoring</t>
        </is>
      </c>
      <c r="H6" s="2" t="n"/>
    </row>
    <row r="7">
      <c r="A7" s="6">
        <f>IF(B4="All",COUNTA(Opportunities!C2:C200),COUNTIF(Opportunities!B2:B200,B4))</f>
        <v/>
      </c>
      <c r="B7" s="2" t="n"/>
      <c r="C7" s="6">
        <f>IF(B4="All",COUNTIF(Opportunities!G2:G200,"Open*"),COUNTIFS(Opportunities!B2:B200,B4,Opportunities!G2:G200,"Open*"))</f>
        <v/>
      </c>
      <c r="D7" s="2" t="n"/>
      <c r="E7" s="6">
        <f>IF(B4="All",COUNTIF(Opportunities!G2:G200,"Upcoming"),COUNTIFS(Opportunities!B2:B200,B4,Opportunities!G2:G200,"Upcoming"))</f>
        <v/>
      </c>
      <c r="F7" s="2" t="n"/>
      <c r="G7" s="6">
        <f>IF(B4="All",COUNTIF(Opportunities!G2:G200,"Monitor"),COUNTIFS(Opportunities!B2:B200,B4,Opportunities!G2:G200,"Monitor"))</f>
        <v/>
      </c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7" t="inlineStr">
        <is>
          <t>Urgent actions</t>
        </is>
      </c>
      <c r="B10" s="2" t="n"/>
      <c r="C10" s="2" t="n"/>
      <c r="D10" s="2" t="n"/>
      <c r="E10" s="2" t="n"/>
      <c r="F10" s="2" t="n"/>
      <c r="G10" s="2" t="n"/>
      <c r="H10" s="2" t="n"/>
    </row>
    <row r="11">
      <c r="A11" s="8" t="inlineStr">
        <is>
          <t>Company</t>
        </is>
      </c>
      <c r="B11" s="8" t="inlineStr">
        <is>
          <t>Role</t>
        </is>
      </c>
      <c r="C11" s="8" t="inlineStr">
        <is>
          <t>Category</t>
        </is>
      </c>
      <c r="D11" s="8" t="inlineStr">
        <is>
          <t>Alert</t>
        </is>
      </c>
      <c r="E11" s="8" t="inlineStr">
        <is>
          <t>Deadline</t>
        </is>
      </c>
      <c r="F11" s="8" t="inlineStr">
        <is>
          <t>Next Action</t>
        </is>
      </c>
      <c r="G11" s="2" t="n"/>
      <c r="H11" s="2" t="n"/>
    </row>
    <row r="12">
      <c r="A12" s="4" t="inlineStr">
        <is>
          <t>Bank of America</t>
        </is>
      </c>
      <c r="B12" s="4" t="inlineStr">
        <is>
          <t>Global Capital Markets Summer Analyst - 2027</t>
        </is>
      </c>
      <c r="C12" s="4" t="inlineStr">
        <is>
          <t>Investment Banking &amp; Finance</t>
        </is>
      </c>
      <c r="D12" s="4" t="inlineStr">
        <is>
          <t>OPEN NOW - rolling/early-close risk</t>
        </is>
      </c>
      <c r="E12" s="9" t="n">
        <v>46295</v>
      </c>
      <c r="F12" s="4" t="inlineStr">
        <is>
          <t>Apply as soon as materials are ready</t>
        </is>
      </c>
      <c r="G12" s="2" t="n"/>
      <c r="H12" s="2" t="n"/>
    </row>
    <row r="13">
      <c r="A13" s="4" t="inlineStr">
        <is>
          <t>HSBC</t>
        </is>
      </c>
      <c r="B13" s="4" t="inlineStr">
        <is>
          <t>Investment Banking - Internship</t>
        </is>
      </c>
      <c r="C13" s="4" t="inlineStr">
        <is>
          <t>Investment Banking &amp; Finance</t>
        </is>
      </c>
      <c r="D13" s="4" t="inlineStr">
        <is>
          <t>OPEN NOW - rolling/early-close risk</t>
        </is>
      </c>
      <c r="E13" s="9" t="n">
        <v>46325</v>
      </c>
      <c r="F13" s="4" t="inlineStr">
        <is>
          <t>Apply as soon as materials are ready</t>
        </is>
      </c>
      <c r="G13" s="2" t="n"/>
      <c r="H13" s="2" t="n"/>
    </row>
    <row r="14">
      <c r="A14" s="4" t="inlineStr">
        <is>
          <t>HSBC</t>
        </is>
      </c>
      <c r="B14" s="4" t="inlineStr">
        <is>
          <t>Investment Banking - Infrastructure Finance Internship</t>
        </is>
      </c>
      <c r="C14" s="4" t="inlineStr">
        <is>
          <t>Investment Banking &amp; Finance</t>
        </is>
      </c>
      <c r="D14" s="4" t="inlineStr">
        <is>
          <t>OPEN NOW - rolling/early-close risk</t>
        </is>
      </c>
      <c r="E14" s="9" t="n">
        <v>46325</v>
      </c>
      <c r="F14" s="4" t="inlineStr">
        <is>
          <t>Apply as soon as materials are ready</t>
        </is>
      </c>
      <c r="G14" s="2" t="n"/>
      <c r="H14" s="2" t="n"/>
    </row>
    <row r="15">
      <c r="A15" s="4" t="inlineStr">
        <is>
          <t>HSBC</t>
        </is>
      </c>
      <c r="B15" s="4" t="inlineStr">
        <is>
          <t>Markets - Sales and Trading Internship</t>
        </is>
      </c>
      <c r="C15" s="4" t="inlineStr">
        <is>
          <t>Investment Banking &amp; Finance</t>
        </is>
      </c>
      <c r="D15" s="4" t="inlineStr">
        <is>
          <t>OPEN NOW - rolling/early-close risk</t>
        </is>
      </c>
      <c r="E15" s="9" t="n">
        <v>46325</v>
      </c>
      <c r="F15" s="4" t="inlineStr">
        <is>
          <t>Apply as soon as materials are ready</t>
        </is>
      </c>
      <c r="G15" s="2" t="n"/>
      <c r="H15" s="2" t="n"/>
    </row>
    <row r="16">
      <c r="A16" s="4" t="inlineStr">
        <is>
          <t>HSBC</t>
        </is>
      </c>
      <c r="B16" s="4" t="inlineStr">
        <is>
          <t>Global Investment Research Internship</t>
        </is>
      </c>
      <c r="C16" s="4" t="inlineStr">
        <is>
          <t>Investment Banking &amp; Finance</t>
        </is>
      </c>
      <c r="D16" s="4" t="inlineStr">
        <is>
          <t>OPEN NOW - rolling/early-close risk</t>
        </is>
      </c>
      <c r="E16" s="9" t="n">
        <v>46325</v>
      </c>
      <c r="F16" s="4" t="inlineStr">
        <is>
          <t>Apply as soon as materials are ready</t>
        </is>
      </c>
      <c r="G16" s="2" t="n"/>
      <c r="H16" s="2" t="n"/>
    </row>
    <row r="17">
      <c r="A17" s="4" t="inlineStr">
        <is>
          <t>Swire</t>
        </is>
      </c>
      <c r="B17" s="4" t="inlineStr">
        <is>
          <t>Swire Summer Internship Programme 2027</t>
        </is>
      </c>
      <c r="C17" s="4" t="inlineStr">
        <is>
          <t>General Business Programs</t>
        </is>
      </c>
      <c r="D17" s="4" t="inlineStr">
        <is>
          <t>200 days remaining</t>
        </is>
      </c>
      <c r="E17" s="9" t="n">
        <v>46418</v>
      </c>
      <c r="F17" s="4" t="inlineStr">
        <is>
          <t>Set opening alert for 2026-12-28</t>
        </is>
      </c>
      <c r="G17" s="2" t="n"/>
      <c r="H17" s="2" t="n"/>
    </row>
    <row r="18">
      <c r="A18" s="4" t="inlineStr">
        <is>
          <t>Goldman Sachs</t>
        </is>
      </c>
      <c r="B18" s="4" t="inlineStr">
        <is>
          <t>2027 Summer Analyst Program - Asia Pacific</t>
        </is>
      </c>
      <c r="C18" s="4" t="inlineStr">
        <is>
          <t>Investment Banking &amp; Finance</t>
        </is>
      </c>
      <c r="D18" s="4" t="inlineStr">
        <is>
          <t>No confirmed deadline - monitor</t>
        </is>
      </c>
      <c r="E18" s="2" t="n"/>
      <c r="F18" s="4" t="inlineStr">
        <is>
          <t>Monitor official page in weekly reminder</t>
        </is>
      </c>
      <c r="G18" s="2" t="n"/>
      <c r="H18" s="2" t="n"/>
    </row>
    <row r="19">
      <c r="A19" s="4" t="inlineStr">
        <is>
          <t>HKEX</t>
        </is>
      </c>
      <c r="B19" s="4" t="inlineStr">
        <is>
          <t>Summer Internship Programme 2027</t>
        </is>
      </c>
      <c r="C19" s="4" t="inlineStr">
        <is>
          <t>General Business Programs</t>
        </is>
      </c>
      <c r="D19" s="4" t="inlineStr">
        <is>
          <t>No confirmed deadline - monitor</t>
        </is>
      </c>
      <c r="E19" s="2" t="n"/>
      <c r="F19" s="4" t="inlineStr">
        <is>
          <t>Monitor official page in weekly reminder</t>
        </is>
      </c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7" t="inlineStr">
        <is>
          <t>Reminder cadence</t>
        </is>
      </c>
      <c r="B24" s="2" t="n"/>
      <c r="C24" s="2" t="n"/>
      <c r="D24" s="2" t="n"/>
      <c r="E24" s="2" t="n"/>
      <c r="F24" s="2" t="n"/>
      <c r="G24" s="2" t="n"/>
      <c r="H24" s="2" t="n"/>
    </row>
    <row r="25">
      <c r="A25" s="4" t="inlineStr">
        <is>
          <t>Weekly scan</t>
        </is>
      </c>
      <c r="B25" s="4" t="inlineStr">
        <is>
          <t>Monday, 9:00 AM Hong Kong time</t>
        </is>
      </c>
      <c r="C25" s="2" t="n"/>
      <c r="D25" s="2" t="n"/>
      <c r="E25" s="2" t="n"/>
      <c r="F25" s="2" t="n"/>
      <c r="G25" s="2" t="n"/>
      <c r="H25" s="2" t="n"/>
    </row>
    <row r="26">
      <c r="A26" s="4" t="inlineStr">
        <is>
          <t>Deadline alerts</t>
        </is>
      </c>
      <c r="B26" s="4" t="inlineStr">
        <is>
          <t>Opening date; 30 days when applicable; 14 days; 7 days</t>
        </is>
      </c>
      <c r="C26" s="2" t="n"/>
      <c r="D26" s="2" t="n"/>
      <c r="E26" s="2" t="n"/>
      <c r="F26" s="2" t="n"/>
      <c r="G26" s="2" t="n"/>
      <c r="H26" s="2" t="n"/>
    </row>
    <row r="27">
      <c r="A27" s="4" t="inlineStr">
        <is>
          <t>Evidence rule</t>
        </is>
      </c>
      <c r="B27" s="4" t="inlineStr">
        <is>
          <t>Official employer sources first; inferred dates must remain labelled</t>
        </is>
      </c>
      <c r="C27" s="2" t="n"/>
      <c r="D27" s="2" t="n"/>
      <c r="E27" s="2" t="n"/>
      <c r="F27" s="2" t="n"/>
      <c r="G27" s="2" t="n"/>
      <c r="H27" s="2" t="n"/>
    </row>
  </sheetData>
  <mergeCells count="2">
    <mergeCell ref="A2:H2"/>
    <mergeCell ref="A1:H1"/>
  </mergeCells>
  <dataValidations count="1">
    <dataValidation sqref="B4" showDropDown="0" showInputMessage="0" showErrorMessage="0" allowBlank="0" type="list">
      <formula1>"All,Consulting,Investment Banking &amp; Finance,Supply Chain &amp; Operations,General Business Programs"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2" customWidth="1" min="3" max="3"/>
    <col width="42" customWidth="1" min="4" max="4"/>
    <col width="25" customWidth="1" min="5" max="5"/>
    <col width="28" customWidth="1" min="6" max="6"/>
    <col width="20" customWidth="1" min="7" max="7"/>
    <col width="14" customWidth="1" min="8" max="8"/>
    <col width="14" customWidth="1" min="9" max="9"/>
    <col width="24" customWidth="1" min="10" max="10"/>
    <col width="18" customWidth="1" min="11" max="11"/>
    <col width="28" customWidth="1" min="12" max="12"/>
    <col width="32" customWidth="1" min="13" max="13"/>
    <col width="38" customWidth="1" min="14" max="14"/>
    <col width="55" customWidth="1" min="15" max="15"/>
    <col width="60" customWidth="1" min="16" max="16"/>
    <col width="48" customWidth="1" min="17" max="17"/>
    <col width="55" customWidth="1" min="18" max="18"/>
    <col width="55" customWidth="1" min="19" max="19"/>
    <col width="58" customWidth="1" min="20" max="20"/>
    <col width="38" customWidth="1" min="21" max="21"/>
    <col width="55" customWidth="1" min="22" max="22"/>
  </cols>
  <sheetData>
    <row r="1" ht="44" customHeight="1">
      <c r="A1" s="10" t="inlineStr">
        <is>
          <t>ID</t>
        </is>
      </c>
      <c r="B1" s="10" t="inlineStr">
        <is>
          <t>Category</t>
        </is>
      </c>
      <c r="C1" s="10" t="inlineStr">
        <is>
          <t>Company</t>
        </is>
      </c>
      <c r="D1" s="10" t="inlineStr">
        <is>
          <t>Program / Role</t>
        </is>
      </c>
      <c r="E1" s="10" t="inlineStr">
        <is>
          <t>Season</t>
        </is>
      </c>
      <c r="F1" s="10" t="inlineStr">
        <is>
          <t>Location</t>
        </is>
      </c>
      <c r="G1" s="10" t="inlineStr">
        <is>
          <t>Application Status</t>
        </is>
      </c>
      <c r="H1" s="10" t="inlineStr">
        <is>
          <t>Opening Date</t>
        </is>
      </c>
      <c r="I1" s="10" t="inlineStr">
        <is>
          <t>Closing Date</t>
        </is>
      </c>
      <c r="J1" s="10" t="inlineStr">
        <is>
          <t>Deadline Time Zone</t>
        </is>
      </c>
      <c r="K1" s="10" t="inlineStr">
        <is>
          <t>Rolling?</t>
        </is>
      </c>
      <c r="L1" s="10" t="inlineStr">
        <is>
          <t>Placement Timeline</t>
        </is>
      </c>
      <c r="M1" s="10" t="inlineStr">
        <is>
          <t>Deadline Alert</t>
        </is>
      </c>
      <c r="N1" s="10" t="inlineStr">
        <is>
          <t>Next Action</t>
        </is>
      </c>
      <c r="O1" s="10" t="inlineStr">
        <is>
          <t>Job Description</t>
        </is>
      </c>
      <c r="P1" s="10" t="inlineStr">
        <is>
          <t>Requirements</t>
        </is>
      </c>
      <c r="Q1" s="10" t="inlineStr">
        <is>
          <t>Language / Work Rights</t>
        </is>
      </c>
      <c r="R1" s="10" t="inlineStr">
        <is>
          <t>Recruitment Stages</t>
        </is>
      </c>
      <c r="S1" s="10" t="inlineStr">
        <is>
          <t>Document Checklist</t>
        </is>
      </c>
      <c r="T1" s="10" t="inlineStr">
        <is>
          <t>Official Application / Source</t>
        </is>
      </c>
      <c r="U1" s="10" t="inlineStr">
        <is>
          <t>Date Confidence</t>
        </is>
      </c>
      <c r="V1" s="10" t="inlineStr">
        <is>
          <t>Notes</t>
        </is>
      </c>
    </row>
    <row r="2">
      <c r="A2" s="4" t="inlineStr">
        <is>
          <t>HK27-001</t>
        </is>
      </c>
      <c r="B2" s="4" t="inlineStr">
        <is>
          <t>Investment Banking &amp; Finance</t>
        </is>
      </c>
      <c r="C2" s="4" t="inlineStr">
        <is>
          <t>HSBC</t>
        </is>
      </c>
      <c r="D2" s="4" t="inlineStr">
        <is>
          <t>Investment Banking - Internship</t>
        </is>
      </c>
      <c r="E2" s="4" t="inlineStr">
        <is>
          <t>Summer 2027</t>
        </is>
      </c>
      <c r="F2" s="4" t="inlineStr">
        <is>
          <t>Central, Hong Kong</t>
        </is>
      </c>
      <c r="G2" s="4" t="inlineStr">
        <is>
          <t>Open</t>
        </is>
      </c>
      <c r="H2" s="9" t="n">
        <v>46209</v>
      </c>
      <c r="I2" s="9" t="n">
        <v>46325</v>
      </c>
      <c r="J2" s="4" t="inlineStr">
        <is>
          <t>Hong Kong time (confirm on form)</t>
        </is>
      </c>
      <c r="K2" s="4" t="inlineStr">
        <is>
          <t>May close early</t>
        </is>
      </c>
      <c r="L2" s="4" t="inlineStr">
        <is>
          <t>2027-06-14; 10 weeks</t>
        </is>
      </c>
      <c r="M2" s="4" t="inlineStr">
        <is>
          <t>OPEN NOW - rolling/early-close risk</t>
        </is>
      </c>
      <c r="N2" s="4" t="inlineStr">
        <is>
          <t>Apply as soon as materials are ready</t>
        </is>
      </c>
      <c r="O2" s="4" t="inlineStr">
        <is>
          <t>Support strategic transactions, fundraising and advisory work for global companies.</t>
        </is>
      </c>
      <c r="P2" s="4" t="inlineStr">
        <is>
          <t>Penultimate-year fit; curiosity, learning agility, teamwork, communication and comfort in a fast-paced environment. Finance degree not required.</t>
        </is>
      </c>
      <c r="Q2" s="4" t="inlineStr">
        <is>
          <t>Role is in Hong Kong; verify form-specific language terms. Applicant has HK work rights.</t>
        </is>
      </c>
      <c r="R2" s="4" t="inlineStr">
        <is>
          <t>Online application; work-based assessments; later interview or assessment centre stages may be virtual or in person.</t>
        </is>
      </c>
      <c r="S2" s="4" t="inlineStr">
        <is>
          <t>CV; transcript if requested; work-authorization details; assessment preparation</t>
        </is>
      </c>
      <c r="T2" s="11" t="inlineStr">
        <is>
          <t>https://apply.careers.hsbc.com/emergingtalent/job/Central-Investment-Banking-Internship-Hong/1365768357/</t>
        </is>
      </c>
      <c r="U2" s="4" t="inlineStr">
        <is>
          <t>Confirmed 2027 official role</t>
        </is>
      </c>
      <c r="V2" s="4" t="inlineStr">
        <is>
          <t>Apply early; HSBC states programmes may close before the published date.</t>
        </is>
      </c>
    </row>
    <row r="3">
      <c r="A3" s="4" t="inlineStr">
        <is>
          <t>HK27-002</t>
        </is>
      </c>
      <c r="B3" s="4" t="inlineStr">
        <is>
          <t>Investment Banking &amp; Finance</t>
        </is>
      </c>
      <c r="C3" s="4" t="inlineStr">
        <is>
          <t>HSBC</t>
        </is>
      </c>
      <c r="D3" s="4" t="inlineStr">
        <is>
          <t>Investment Banking - Infrastructure Finance Internship</t>
        </is>
      </c>
      <c r="E3" s="4" t="inlineStr">
        <is>
          <t>Summer 2027</t>
        </is>
      </c>
      <c r="F3" s="4" t="inlineStr">
        <is>
          <t>Central, Hong Kong</t>
        </is>
      </c>
      <c r="G3" s="4" t="inlineStr">
        <is>
          <t>Open</t>
        </is>
      </c>
      <c r="H3" s="9" t="n">
        <v>46209</v>
      </c>
      <c r="I3" s="9" t="n">
        <v>46325</v>
      </c>
      <c r="J3" s="4" t="inlineStr">
        <is>
          <t>Hong Kong time (confirm on form)</t>
        </is>
      </c>
      <c r="K3" s="4" t="inlineStr">
        <is>
          <t>May close early</t>
        </is>
      </c>
      <c r="L3" s="4" t="inlineStr">
        <is>
          <t>2027-06-14; duration on vacancy</t>
        </is>
      </c>
      <c r="M3" s="4" t="inlineStr">
        <is>
          <t>OPEN NOW - rolling/early-close risk</t>
        </is>
      </c>
      <c r="N3" s="4" t="inlineStr">
        <is>
          <t>Apply as soon as materials are ready</t>
        </is>
      </c>
      <c r="O3" s="4" t="inlineStr">
        <is>
          <t>Help deliver financing solutions for major infrastructure projects and the energy transition.</t>
        </is>
      </c>
      <c r="P3" s="4" t="inlineStr">
        <is>
          <t>Penultimate-year internship profile; analytical ability, collaboration, learning agility and clear communication.</t>
        </is>
      </c>
      <c r="Q3" s="4" t="inlineStr">
        <is>
          <t>Verify vacancy-specific language terms; Hong Kong work rights available.</t>
        </is>
      </c>
      <c r="R3" s="4" t="inlineStr">
        <is>
          <t>Online application and work-based assessments; interview stages as specified in candidate portal.</t>
        </is>
      </c>
      <c r="S3" s="4" t="inlineStr">
        <is>
          <t>CV; transcript if requested; work-authorization details; assessment preparation</t>
        </is>
      </c>
      <c r="T3" s="11" t="inlineStr">
        <is>
          <t>https://www.hsbc.com/careers/students-and-graduates/find-a-programme?programme-type=internship-programme</t>
        </is>
      </c>
      <c r="U3" s="4" t="inlineStr">
        <is>
          <t>Confirmed 2027 official listing</t>
        </is>
      </c>
      <c r="V3" s="4" t="inlineStr">
        <is>
          <t>Use HSBC programme filter for Hong Kong SAR and Investment Banking.</t>
        </is>
      </c>
    </row>
    <row r="4">
      <c r="A4" s="4" t="inlineStr">
        <is>
          <t>HK27-003</t>
        </is>
      </c>
      <c r="B4" s="4" t="inlineStr">
        <is>
          <t>Investment Banking &amp; Finance</t>
        </is>
      </c>
      <c r="C4" s="4" t="inlineStr">
        <is>
          <t>HSBC</t>
        </is>
      </c>
      <c r="D4" s="4" t="inlineStr">
        <is>
          <t>Markets - Sales and Trading Internship</t>
        </is>
      </c>
      <c r="E4" s="4" t="inlineStr">
        <is>
          <t>Summer 2027</t>
        </is>
      </c>
      <c r="F4" s="4" t="inlineStr">
        <is>
          <t>Central, Hong Kong</t>
        </is>
      </c>
      <c r="G4" s="4" t="inlineStr">
        <is>
          <t>Open</t>
        </is>
      </c>
      <c r="H4" s="9" t="n">
        <v>46209</v>
      </c>
      <c r="I4" s="9" t="n">
        <v>46325</v>
      </c>
      <c r="J4" s="4" t="inlineStr">
        <is>
          <t>Hong Kong time (confirm on form)</t>
        </is>
      </c>
      <c r="K4" s="4" t="inlineStr">
        <is>
          <t>May close early</t>
        </is>
      </c>
      <c r="L4" s="4" t="inlineStr">
        <is>
          <t>2027-06-14; duration on vacancy</t>
        </is>
      </c>
      <c r="M4" s="4" t="inlineStr">
        <is>
          <t>OPEN NOW - rolling/early-close risk</t>
        </is>
      </c>
      <c r="N4" s="4" t="inlineStr">
        <is>
          <t>Apply as soon as materials are ready</t>
        </is>
      </c>
      <c r="O4" s="4" t="inlineStr">
        <is>
          <t>Build sales and trading skills at the centre of global financial markets.</t>
        </is>
      </c>
      <c r="P4" s="4" t="inlineStr">
        <is>
          <t>Penultimate-year internship profile; market interest, analytical thinking, collaboration and communication.</t>
        </is>
      </c>
      <c r="Q4" s="4" t="inlineStr">
        <is>
          <t>Verify vacancy-specific language terms; Hong Kong work rights available.</t>
        </is>
      </c>
      <c r="R4" s="4" t="inlineStr">
        <is>
          <t>Online application and work-based assessments; interview stages as specified in candidate portal.</t>
        </is>
      </c>
      <c r="S4" s="4" t="inlineStr">
        <is>
          <t>CV; transcript if requested; work-authorization details; assessment preparation</t>
        </is>
      </c>
      <c r="T4" s="11" t="inlineStr">
        <is>
          <t>https://www.hsbc.com/careers/students-and-graduates/find-a-programme?programme-type=internship-programme</t>
        </is>
      </c>
      <c r="U4" s="4" t="inlineStr">
        <is>
          <t>Confirmed 2027 official listing</t>
        </is>
      </c>
      <c r="V4" s="4" t="inlineStr">
        <is>
          <t>Rolling-risk alert: submit well before 30 October.</t>
        </is>
      </c>
    </row>
    <row r="5">
      <c r="A5" s="4" t="inlineStr">
        <is>
          <t>HK27-004</t>
        </is>
      </c>
      <c r="B5" s="4" t="inlineStr">
        <is>
          <t>Investment Banking &amp; Finance</t>
        </is>
      </c>
      <c r="C5" s="4" t="inlineStr">
        <is>
          <t>HSBC</t>
        </is>
      </c>
      <c r="D5" s="4" t="inlineStr">
        <is>
          <t>Global Investment Research Internship</t>
        </is>
      </c>
      <c r="E5" s="4" t="inlineStr">
        <is>
          <t>Summer 2027</t>
        </is>
      </c>
      <c r="F5" s="4" t="inlineStr">
        <is>
          <t>Central, Hong Kong</t>
        </is>
      </c>
      <c r="G5" s="4" t="inlineStr">
        <is>
          <t>Open</t>
        </is>
      </c>
      <c r="H5" s="9" t="n">
        <v>46209</v>
      </c>
      <c r="I5" s="9" t="n">
        <v>46325</v>
      </c>
      <c r="J5" s="4" t="inlineStr">
        <is>
          <t>Hong Kong time (confirm on form)</t>
        </is>
      </c>
      <c r="K5" s="4" t="inlineStr">
        <is>
          <t>May close early</t>
        </is>
      </c>
      <c r="L5" s="4" t="inlineStr">
        <is>
          <t>2027-06-14; duration on vacancy</t>
        </is>
      </c>
      <c r="M5" s="4" t="inlineStr">
        <is>
          <t>OPEN NOW - rolling/early-close risk</t>
        </is>
      </c>
      <c r="N5" s="4" t="inlineStr">
        <is>
          <t>Apply as soon as materials are ready</t>
        </is>
      </c>
      <c r="O5" s="4" t="inlineStr">
        <is>
          <t>Research markets and trends to support investment and business decisions.</t>
        </is>
      </c>
      <c r="P5" s="4" t="inlineStr">
        <is>
          <t>Penultimate-year internship profile; intellectual curiosity, research, analytical and communication skills.</t>
        </is>
      </c>
      <c r="Q5" s="4" t="inlineStr">
        <is>
          <t>Verify vacancy-specific language terms; Hong Kong work rights available.</t>
        </is>
      </c>
      <c r="R5" s="4" t="inlineStr">
        <is>
          <t>Online application and work-based assessments; interview stages as specified in candidate portal.</t>
        </is>
      </c>
      <c r="S5" s="4" t="inlineStr">
        <is>
          <t>CV; transcript if requested; work-authorization details; assessment preparation</t>
        </is>
      </c>
      <c r="T5" s="11" t="inlineStr">
        <is>
          <t>https://www.hsbc.com/careers/students-and-graduates/find-a-programme?programme-type=internship-programme</t>
        </is>
      </c>
      <c r="U5" s="4" t="inlineStr">
        <is>
          <t>Confirmed 2027 official listing</t>
        </is>
      </c>
      <c r="V5" s="4" t="inlineStr">
        <is>
          <t>Strong match for a business/finance applicant interested in markets and company analysis.</t>
        </is>
      </c>
    </row>
    <row r="6">
      <c r="A6" s="4" t="inlineStr">
        <is>
          <t>HK27-005</t>
        </is>
      </c>
      <c r="B6" s="4" t="inlineStr">
        <is>
          <t>Investment Banking &amp; Finance</t>
        </is>
      </c>
      <c r="C6" s="4" t="inlineStr">
        <is>
          <t>Goldman Sachs</t>
        </is>
      </c>
      <c r="D6" s="4" t="inlineStr">
        <is>
          <t>2027 Summer Analyst Program - Asia Pacific</t>
        </is>
      </c>
      <c r="E6" s="4" t="inlineStr">
        <is>
          <t>Summer 2027</t>
        </is>
      </c>
      <c r="F6" s="4" t="inlineStr">
        <is>
          <t>Hong Kong subject to application availability</t>
        </is>
      </c>
      <c r="G6" s="4" t="inlineStr">
        <is>
          <t>Open / verify location</t>
        </is>
      </c>
      <c r="H6" s="9" t="n"/>
      <c r="I6" s="9" t="n"/>
      <c r="J6" s="4" t="inlineStr">
        <is>
          <t>Not published; rolling</t>
        </is>
      </c>
      <c r="K6" s="4" t="inlineStr">
        <is>
          <t>Yes</t>
        </is>
      </c>
      <c r="L6" s="4" t="inlineStr">
        <is>
          <t>9-11 weeks</t>
        </is>
      </c>
      <c r="M6" s="4" t="inlineStr">
        <is>
          <t>No confirmed deadline - monitor</t>
        </is>
      </c>
      <c r="N6" s="4" t="inlineStr">
        <is>
          <t>Monitor official page in weekly reminder</t>
        </is>
      </c>
      <c r="O6" s="4" t="inlineStr">
        <is>
          <t>Immersive internship with training and real responsibilities across businesses including Investment Banking, FICC and Equities, Research, Asset Management, Operations and Risk.</t>
        </is>
      </c>
      <c r="P6" s="4" t="inlineStr">
        <is>
          <t>Current penultimate-year Bachelor's or Master's student; apply as soon as ready because applications are reviewed rolling.</t>
        </is>
      </c>
      <c r="Q6" s="4" t="inlineStr">
        <is>
          <t>Location-specific terms appear in each application; Hong Kong work rights available.</t>
        </is>
      </c>
      <c r="R6" s="4" t="inlineStr">
        <is>
          <t>Application and business-specific selection process.</t>
        </is>
      </c>
      <c r="S6" s="4" t="inlineStr">
        <is>
          <t>CV; academic information/transcript if requested; work-authorization details; division preferences</t>
        </is>
      </c>
      <c r="T6" s="11" t="inlineStr">
        <is>
          <t>https://www.goldmansachs.com/careers/students/programs-and-internships/asia-pacific/summer-analyst</t>
        </is>
      </c>
      <c r="U6" s="4" t="inlineStr">
        <is>
          <t>Confirmed 2027 official programme</t>
        </is>
      </c>
      <c r="V6" s="4" t="inlineStr">
        <is>
          <t>Check Apply Now immediately for live Hong Kong divisions; no single programme-wide deadline is published.</t>
        </is>
      </c>
    </row>
    <row r="7">
      <c r="A7" s="4" t="inlineStr">
        <is>
          <t>HK27-006</t>
        </is>
      </c>
      <c r="B7" s="4" t="inlineStr">
        <is>
          <t>Investment Banking &amp; Finance</t>
        </is>
      </c>
      <c r="C7" s="4" t="inlineStr">
        <is>
          <t>Bank of America</t>
        </is>
      </c>
      <c r="D7" s="4" t="inlineStr">
        <is>
          <t>Global Capital Markets Summer Analyst - 2027</t>
        </is>
      </c>
      <c r="E7" s="4" t="inlineStr">
        <is>
          <t>Summer 2027</t>
        </is>
      </c>
      <c r="F7" s="4" t="inlineStr">
        <is>
          <t>Hong Kong</t>
        </is>
      </c>
      <c r="G7" s="4" t="inlineStr">
        <is>
          <t>Open</t>
        </is>
      </c>
      <c r="H7" s="9" t="n"/>
      <c r="I7" s="9" t="n">
        <v>46295</v>
      </c>
      <c r="J7" s="4" t="inlineStr">
        <is>
          <t>Confirm on application</t>
        </is>
      </c>
      <c r="K7" s="4" t="inlineStr">
        <is>
          <t>Apply early</t>
        </is>
      </c>
      <c r="L7" s="4" t="inlineStr">
        <is>
          <t>10 weeks</t>
        </is>
      </c>
      <c r="M7" s="4" t="inlineStr">
        <is>
          <t>OPEN NOW - rolling/early-close risk</t>
        </is>
      </c>
      <c r="N7" s="4" t="inlineStr">
        <is>
          <t>Apply as soon as materials are ready</t>
        </is>
      </c>
      <c r="O7" s="4" t="inlineStr">
        <is>
          <t>Research companies and markets, support transaction structuring and execution, and work with Investment Banking and Global Markets teams.</t>
        </is>
      </c>
      <c r="P7" s="4" t="inlineStr">
        <is>
          <t>Penultimate-year undergraduate or master's student for 2028 conversion; strong academics, quantitative and analytical skills, communication, initiative and interest in investment banking.</t>
        </is>
      </c>
      <c r="Q7" s="4" t="inlineStr">
        <is>
          <t>English required; another Asian language highly advantageous. Verify work authorization on application.</t>
        </is>
      </c>
      <c r="R7" s="4" t="inlineStr">
        <is>
          <t>Online application followed by programme-specific assessment and interviews.</t>
        </is>
      </c>
      <c r="S7" s="4" t="inlineStr">
        <is>
          <t>CV; academic record/transcript; work-authorization details; interview and technical preparation</t>
        </is>
      </c>
      <c r="T7" s="11" t="inlineStr">
        <is>
          <t>https://careers.bankofamerica.com/en-us/students/job-detail/14375/global-capital-markets-summer-analyst-2027-hong-kong-hong-kong-hong-kong</t>
        </is>
      </c>
      <c r="U7" s="4" t="inlineStr">
        <is>
          <t>Confirmed 2027 official role</t>
        </is>
      </c>
      <c r="V7" s="4" t="inlineStr">
        <is>
          <t>Direct fit for a 2028 graduate; deadline is employer-published.</t>
        </is>
      </c>
    </row>
    <row r="8">
      <c r="A8" s="4" t="inlineStr">
        <is>
          <t>HK27-007</t>
        </is>
      </c>
      <c r="B8" s="4" t="inlineStr">
        <is>
          <t>Investment Banking &amp; Finance</t>
        </is>
      </c>
      <c r="C8" s="4" t="inlineStr">
        <is>
          <t>J.P. Morgan</t>
        </is>
      </c>
      <c r="D8" s="4" t="inlineStr">
        <is>
          <t>Investment Banking Seasonal Internship</t>
        </is>
      </c>
      <c r="E8" s="4" t="inlineStr">
        <is>
          <t>Winter / off-cycle watch</t>
        </is>
      </c>
      <c r="F8" s="4" t="inlineStr">
        <is>
          <t>Hong Kong when displayed as open</t>
        </is>
      </c>
      <c r="G8" s="4" t="inlineStr">
        <is>
          <t>Monitor</t>
        </is>
      </c>
      <c r="H8" s="9" t="n"/>
      <c r="I8" s="9" t="n"/>
      <c r="J8" s="4" t="inlineStr">
        <is>
          <t>Not published</t>
        </is>
      </c>
      <c r="K8" s="4" t="inlineStr">
        <is>
          <t>Location-dependent</t>
        </is>
      </c>
      <c r="L8" s="4" t="inlineStr">
        <is>
          <t>3-6 months during spring, fall or winter</t>
        </is>
      </c>
      <c r="M8" s="4" t="inlineStr">
        <is>
          <t>No confirmed deadline - monitor</t>
        </is>
      </c>
      <c r="N8" s="4" t="inlineStr">
        <is>
          <t>Monitor official page in weekly reminder</t>
        </is>
      </c>
      <c r="O8" s="4" t="inlineStr">
        <is>
          <t>Participate in live transactions, valuation, research, pitch materials and deal execution with investment banking teams.</t>
        </is>
      </c>
      <c r="P8" s="4" t="inlineStr">
        <is>
          <t>Analytical thinking, attention to detail, communication, business writing, research, quantitative ability and interest in financial services.</t>
        </is>
      </c>
      <c r="Q8" s="4" t="inlineStr">
        <is>
          <t>Location-specific requirements apply; Hong Kong work rights available.</t>
        </is>
      </c>
      <c r="R8" s="4" t="inlineStr">
        <is>
          <t>Apply when Hong Kong appears in the official location selector; standard assessment and interviews follow.</t>
        </is>
      </c>
      <c r="S8" s="4" t="inlineStr">
        <is>
          <t>CV; transcript if requested; work-authorization details; technical interview preparation</t>
        </is>
      </c>
      <c r="T8" s="11" t="inlineStr">
        <is>
          <t>https://careers.jpmorgan.com/US/en/students/programs/investment-banking-seasonal-analyst</t>
        </is>
      </c>
      <c r="U8" s="4" t="inlineStr">
        <is>
          <t>Official programme; HK opening not confirmed</t>
        </is>
      </c>
      <c r="V8" s="4" t="inlineStr">
        <is>
          <t>Useful winter/off-cycle target. The official page only displays locations that are currently open.</t>
        </is>
      </c>
    </row>
    <row r="9">
      <c r="A9" s="4" t="inlineStr">
        <is>
          <t>HK27-008</t>
        </is>
      </c>
      <c r="B9" s="4" t="inlineStr">
        <is>
          <t>Consulting</t>
        </is>
      </c>
      <c r="C9" s="4" t="inlineStr">
        <is>
          <t>Deloitte China</t>
        </is>
      </c>
      <c r="D9" s="4" t="inlineStr">
        <is>
          <t>Summer or Winter Internship - Consulting</t>
        </is>
      </c>
      <c r="E9" s="4" t="inlineStr">
        <is>
          <t>Winter 2026-27 / Summer 2027 watch</t>
        </is>
      </c>
      <c r="F9" s="4" t="inlineStr">
        <is>
          <t>Hong Kong subject to vacancy</t>
        </is>
      </c>
      <c r="G9" s="4" t="inlineStr">
        <is>
          <t>Monitor</t>
        </is>
      </c>
      <c r="H9" s="9" t="n"/>
      <c r="I9" s="9" t="n"/>
      <c r="J9" s="4" t="inlineStr">
        <is>
          <t>Not yet published</t>
        </is>
      </c>
      <c r="K9" s="4" t="inlineStr">
        <is>
          <t>Programme cycle</t>
        </is>
      </c>
      <c r="L9" s="4" t="inlineStr">
        <is>
          <t>2-4 months</t>
        </is>
      </c>
      <c r="M9" s="4" t="inlineStr">
        <is>
          <t>No confirmed deadline - monitor</t>
        </is>
      </c>
      <c r="N9" s="4" t="inlineStr">
        <is>
          <t>Monitor official page in weekly reminder</t>
        </is>
      </c>
      <c r="O9" s="4" t="inlineStr">
        <is>
          <t>Structured internship in Consulting, Audit or Tax with client exposure, networking, coaching and feedback.</t>
        </is>
      </c>
      <c r="P9" s="4" t="inlineStr">
        <is>
          <t>Students from any discipline; generally penultimate year or above, or graduating in the next one to two years; strong interest in professional services.</t>
        </is>
      </c>
      <c r="Q9" s="4" t="inlineStr">
        <is>
          <t>Vacancy-specific; applicant has Hong Kong work rights and relevant language capability.</t>
        </is>
      </c>
      <c r="R9" s="4" t="inlineStr">
        <is>
          <t>Application and selection process shown when role opens.</t>
        </is>
      </c>
      <c r="S9" s="4" t="inlineStr">
        <is>
          <t>CV; transcript; cover letter if requested; work-authorization details</t>
        </is>
      </c>
      <c r="T9" s="11" t="inlineStr">
        <is>
          <t>https://www.deloitte.com/cn/en/careers/explore-your-fit/students/internship-program.html?icid=toggle_cn_en</t>
        </is>
      </c>
      <c r="U9" s="4" t="inlineStr">
        <is>
          <t>Official recurring timeline; 2027 dates not confirmed</t>
        </is>
      </c>
      <c r="V9" s="4" t="inlineStr">
        <is>
          <t>Official guidance: winter recruitment normally Oct-Nov; summer recruitment normally Apr-May.</t>
        </is>
      </c>
    </row>
    <row r="10">
      <c r="A10" s="4" t="inlineStr">
        <is>
          <t>HK27-009</t>
        </is>
      </c>
      <c r="B10" s="4" t="inlineStr">
        <is>
          <t>Consulting</t>
        </is>
      </c>
      <c r="C10" s="4" t="inlineStr">
        <is>
          <t>KPMG China</t>
        </is>
      </c>
      <c r="D10" s="4" t="inlineStr">
        <is>
          <t>Basecamp Internship - Advisory</t>
        </is>
      </c>
      <c r="E10" s="4" t="inlineStr">
        <is>
          <t>Winter 2026-27 / Summer 2027 watch</t>
        </is>
      </c>
      <c r="F10" s="4" t="inlineStr">
        <is>
          <t>Hong Kong and Macau stream</t>
        </is>
      </c>
      <c r="G10" s="4" t="inlineStr">
        <is>
          <t>Monitor</t>
        </is>
      </c>
      <c r="H10" s="9" t="n"/>
      <c r="I10" s="9" t="n"/>
      <c r="J10" s="4" t="inlineStr">
        <is>
          <t>Not yet published</t>
        </is>
      </c>
      <c r="K10" s="4" t="inlineStr">
        <is>
          <t>Multiple intakes</t>
        </is>
      </c>
      <c r="L10" s="4" t="inlineStr">
        <is>
          <t>Winter, summer, off-cycle or placement intake</t>
        </is>
      </c>
      <c r="M10" s="4" t="inlineStr">
        <is>
          <t>No confirmed deadline - monitor</t>
        </is>
      </c>
      <c r="N10" s="4" t="inlineStr">
        <is>
          <t>Monitor official page in weekly reminder</t>
        </is>
      </c>
      <c r="O10" s="4" t="inlineStr">
        <is>
          <t>Client experience and professional training in Advisory, Audit, Tax or Business Support, with internship opportunities across university years.</t>
        </is>
      </c>
      <c r="P10" s="4" t="inlineStr">
        <is>
          <t>University student; strong academics, communication, industry interest, initiative and teamwork. Hong Kong office requires HKID or valid work permit.</t>
        </is>
      </c>
      <c r="Q10" s="4" t="inlineStr">
        <is>
          <t>Permanent Hong Kong ID or valid work permit for Hong Kong office.</t>
        </is>
      </c>
      <c r="R10" s="4" t="inlineStr">
        <is>
          <t>Select intake, function and Chinese HK/MO location when applications open.</t>
        </is>
      </c>
      <c r="S10" s="4" t="inlineStr">
        <is>
          <t>CV; transcript; cover letter if requested; HKID/work-permit evidence</t>
        </is>
      </c>
      <c r="T10" s="11" t="inlineStr">
        <is>
          <t>https://kpmg.com/cn/en/careers/campus/basecamp.html</t>
        </is>
      </c>
      <c r="U10" s="4" t="inlineStr">
        <is>
          <t>Official programme; 2027 intake not published</t>
        </is>
      </c>
      <c r="V10" s="4" t="inlineStr">
        <is>
          <t>Monitor Basecamp for the next winter and summer intake tiles.</t>
        </is>
      </c>
    </row>
    <row r="11">
      <c r="A11" s="4" t="inlineStr">
        <is>
          <t>HK27-010</t>
        </is>
      </c>
      <c r="B11" s="4" t="inlineStr">
        <is>
          <t>Consulting</t>
        </is>
      </c>
      <c r="C11" s="4" t="inlineStr">
        <is>
          <t>Bain &amp; Company</t>
        </is>
      </c>
      <c r="D11" s="4" t="inlineStr">
        <is>
          <t>Associate Consultant Internship</t>
        </is>
      </c>
      <c r="E11" s="4" t="inlineStr">
        <is>
          <t>Summer 2027 watch</t>
        </is>
      </c>
      <c r="F11" s="4" t="inlineStr">
        <is>
          <t>Hong Kong subject to office opening</t>
        </is>
      </c>
      <c r="G11" s="4" t="inlineStr">
        <is>
          <t>Monitor</t>
        </is>
      </c>
      <c r="H11" s="9" t="n"/>
      <c r="I11" s="9" t="n"/>
      <c r="J11" s="4" t="inlineStr">
        <is>
          <t>Office-specific</t>
        </is>
      </c>
      <c r="K11" s="4" t="inlineStr">
        <is>
          <t>Office-specific</t>
        </is>
      </c>
      <c r="L11" s="4" t="inlineStr">
        <is>
          <t>Typically 10 weeks</t>
        </is>
      </c>
      <c r="M11" s="4" t="inlineStr">
        <is>
          <t>No confirmed deadline - monitor</t>
        </is>
      </c>
      <c r="N11" s="4" t="inlineStr">
        <is>
          <t>Monitor official page in weekly reminder</t>
        </is>
      </c>
      <c r="O11" s="4" t="inlineStr">
        <is>
          <t>Work with consulting teams on strategic client challenges after intensive training in core consulting skills.</t>
        </is>
      </c>
      <c r="P11" s="4" t="inlineStr">
        <is>
          <t>Office-specific eligibility; strong academics, analytical and creative thinking, teamwork and ability to thrive in an entrepreneurial environment.</t>
        </is>
      </c>
      <c r="Q11" s="4" t="inlineStr">
        <is>
          <t>Office-specific; verify Hong Kong language and authorization terms.</t>
        </is>
      </c>
      <c r="R11" s="4" t="inlineStr">
        <is>
          <t>Application, office screening and case interviews.</t>
        </is>
      </c>
      <c r="S11" s="4" t="inlineStr">
        <is>
          <t>CV; educational background; work experience; test scores if applicable; office-specific items</t>
        </is>
      </c>
      <c r="T11" s="11" t="inlineStr">
        <is>
          <t>https://www.bain.com/careers/work-with-us/internships-programs/</t>
        </is>
      </c>
      <c r="U11" s="4" t="inlineStr">
        <is>
          <t>Official programme; HK 2027 date not confirmed</t>
        </is>
      </c>
      <c r="V11" s="4" t="inlineStr">
        <is>
          <t>Use the official office selector and apply only when Hong Kong is available.</t>
        </is>
      </c>
    </row>
    <row r="12">
      <c r="A12" s="4" t="inlineStr">
        <is>
          <t>HK27-011</t>
        </is>
      </c>
      <c r="B12" s="4" t="inlineStr">
        <is>
          <t>Consulting</t>
        </is>
      </c>
      <c r="C12" s="4" t="inlineStr">
        <is>
          <t>McKinsey &amp; Company</t>
        </is>
      </c>
      <c r="D12" s="4" t="inlineStr">
        <is>
          <t>Summer Business Analyst Internship</t>
        </is>
      </c>
      <c r="E12" s="4" t="inlineStr">
        <is>
          <t>Summer 2027 watch</t>
        </is>
      </c>
      <c r="F12" s="4" t="inlineStr">
        <is>
          <t>Hong Kong subject to job search</t>
        </is>
      </c>
      <c r="G12" s="4" t="inlineStr">
        <is>
          <t>Monitor</t>
        </is>
      </c>
      <c r="H12" s="9" t="n"/>
      <c r="I12" s="9" t="n"/>
      <c r="J12" s="4" t="inlineStr">
        <is>
          <t>Programme/office-specific</t>
        </is>
      </c>
      <c r="K12" s="4" t="inlineStr">
        <is>
          <t>Varies</t>
        </is>
      </c>
      <c r="L12" s="4" t="inlineStr">
        <is>
          <t>Programme-specific</t>
        </is>
      </c>
      <c r="M12" s="4" t="inlineStr">
        <is>
          <t>No confirmed deadline - monitor</t>
        </is>
      </c>
      <c r="N12" s="4" t="inlineStr">
        <is>
          <t>Monitor official page in weekly reminder</t>
        </is>
      </c>
      <c r="O12" s="4" t="inlineStr">
        <is>
          <t>Hands-on problem solving across industries and functions as part of client-service teams.</t>
        </is>
      </c>
      <c r="P12" s="4" t="inlineStr">
        <is>
          <t>Undergraduate pathway; strong problem solving, leadership, collaboration and academic performance. Exact eligibility is posting-specific.</t>
        </is>
      </c>
      <c r="Q12" s="4" t="inlineStr">
        <is>
          <t>Hong Kong posting-specific; verify language and authorization terms.</t>
        </is>
      </c>
      <c r="R12" s="4" t="inlineStr">
        <is>
          <t>Application, problem-solving assessment where used, and interviews.</t>
        </is>
      </c>
      <c r="S12" s="4" t="inlineStr">
        <is>
          <t>CV; transcript/education details; work-authorization details; case interview preparation</t>
        </is>
      </c>
      <c r="T12" s="11" t="inlineStr">
        <is>
          <t>https://www.mckinsey.com/careers/students/en</t>
        </is>
      </c>
      <c r="U12" s="4" t="inlineStr">
        <is>
          <t>Official student pathway; HK 2027 date not confirmed</t>
        </is>
      </c>
      <c r="V12" s="4" t="inlineStr">
        <is>
          <t>Use McKinsey's deadline finder and job search for Hong Kong updates.</t>
        </is>
      </c>
    </row>
    <row r="13">
      <c r="A13" s="4" t="inlineStr">
        <is>
          <t>HK27-012</t>
        </is>
      </c>
      <c r="B13" s="4" t="inlineStr">
        <is>
          <t>Supply Chain &amp; Operations</t>
        </is>
      </c>
      <c r="C13" s="4" t="inlineStr">
        <is>
          <t>Cathay Pacific</t>
        </is>
      </c>
      <c r="D13" s="4" t="inlineStr">
        <is>
          <t>Summer Internship Programme - Business / Operations watch</t>
        </is>
      </c>
      <c r="E13" s="4" t="inlineStr">
        <is>
          <t>Summer 2027 watch</t>
        </is>
      </c>
      <c r="F13" s="4" t="inlineStr">
        <is>
          <t>Hong Kong</t>
        </is>
      </c>
      <c r="G13" s="4" t="inlineStr">
        <is>
          <t>Monitor</t>
        </is>
      </c>
      <c r="H13" s="9" t="n"/>
      <c r="I13" s="9" t="n"/>
      <c r="J13" s="4" t="inlineStr">
        <is>
          <t>Not yet published</t>
        </is>
      </c>
      <c r="K13" s="4" t="inlineStr">
        <is>
          <t>Vacancy-specific</t>
        </is>
      </c>
      <c r="L13" s="4" t="inlineStr">
        <is>
          <t>Prior cycle ran July-August</t>
        </is>
      </c>
      <c r="M13" s="4" t="inlineStr">
        <is>
          <t>No confirmed deadline - monitor</t>
        </is>
      </c>
      <c r="N13" s="4" t="inlineStr">
        <is>
          <t>Monitor official page in weekly reminder</t>
        </is>
      </c>
      <c r="O13" s="4" t="inlineStr">
        <is>
          <t>Paid project-based internships across functions; prior business roles included strategy, customer, digital and operational work.</t>
        </is>
      </c>
      <c r="P13" s="4" t="inlineStr">
        <is>
          <t>Prior postings required full-time availability, strong English, interest in aviation and Hong Kong right of abode or acceptable student work documentation.</t>
        </is>
      </c>
      <c r="Q13" s="4" t="inlineStr">
        <is>
          <t>English; right of abode or vacancy-approved documentation such as a No Objection Letter.</t>
        </is>
      </c>
      <c r="R13" s="4" t="inlineStr">
        <is>
          <t>Online application and function-specific interviews.</t>
        </is>
      </c>
      <c r="S13" s="4" t="inlineStr">
        <is>
          <t>CV; transcript if requested; HK work-right evidence; availability confirmation</t>
        </is>
      </c>
      <c r="T13" s="11" t="inlineStr">
        <is>
          <t>https://careers.cathaypacific.com/our-teams/future-talent</t>
        </is>
      </c>
      <c r="U13" s="4" t="inlineStr">
        <is>
          <t>Official pathway; timeline uses prior-cycle context</t>
        </is>
      </c>
      <c r="V13" s="4" t="inlineStr">
        <is>
          <t>Monitor from early 2027; do not treat the prior-cycle dates as the 2027 deadline.</t>
        </is>
      </c>
    </row>
    <row r="14">
      <c r="A14" s="4" t="inlineStr">
        <is>
          <t>HK27-013</t>
        </is>
      </c>
      <c r="B14" s="4" t="inlineStr">
        <is>
          <t>Supply Chain &amp; Operations</t>
        </is>
      </c>
      <c r="C14" s="4" t="inlineStr">
        <is>
          <t>DHL</t>
        </is>
      </c>
      <c r="D14" s="4" t="inlineStr">
        <is>
          <t>Hong Kong Student Internship Opportunities</t>
        </is>
      </c>
      <c r="E14" s="4" t="inlineStr">
        <is>
          <t>Winter / Summer 2027 watch</t>
        </is>
      </c>
      <c r="F14" s="4" t="inlineStr">
        <is>
          <t>Hong Kong</t>
        </is>
      </c>
      <c r="G14" s="4" t="inlineStr">
        <is>
          <t>Monitor</t>
        </is>
      </c>
      <c r="H14" s="9" t="n"/>
      <c r="I14" s="9" t="n"/>
      <c r="J14" s="4" t="inlineStr">
        <is>
          <t>Vacancy-specific</t>
        </is>
      </c>
      <c r="K14" s="4" t="inlineStr">
        <is>
          <t>Current opportunities</t>
        </is>
      </c>
      <c r="L14" s="4" t="inlineStr">
        <is>
          <t>Vacancy-specific</t>
        </is>
      </c>
      <c r="M14" s="4" t="inlineStr">
        <is>
          <t>No confirmed deadline - monitor</t>
        </is>
      </c>
      <c r="N14" s="4" t="inlineStr">
        <is>
          <t>Monitor official page in weekly reminder</t>
        </is>
      </c>
      <c r="O14" s="4" t="inlineStr">
        <is>
          <t>Student opportunities offering real-world exposure to logistics and supply-chain operations; roles vary by business and project need.</t>
        </is>
      </c>
      <c r="P14" s="4" t="inlineStr">
        <is>
          <t>Enrolled student; opportunity-specific academic and availability requirements; supply-chain interest and analytical/team skills are advantageous.</t>
        </is>
      </c>
      <c r="Q14" s="4" t="inlineStr">
        <is>
          <t>Hong Kong vacancy-specific; likely English and Chinese for local-facing roles.</t>
        </is>
      </c>
      <c r="R14" s="4" t="inlineStr">
        <is>
          <t>Apply through current opportunities; recruitment process varies by role.</t>
        </is>
      </c>
      <c r="S14" s="4" t="inlineStr">
        <is>
          <t>CV; transcript if requested; work-authorization details; availability</t>
        </is>
      </c>
      <c r="T14" s="11" t="inlineStr">
        <is>
          <t>https://careers.dhl.com/apac/en/students-graduates</t>
        </is>
      </c>
      <c r="U14" s="4" t="inlineStr">
        <is>
          <t>Official student pathway; HK 2027 role not confirmed</t>
        </is>
      </c>
      <c r="V14" s="4" t="inlineStr">
        <is>
          <t>The Hong Kong management-trainee page is graduate-focused; use student vacancies for internship eligibility.</t>
        </is>
      </c>
    </row>
    <row r="15">
      <c r="A15" s="4" t="inlineStr">
        <is>
          <t>HK27-014</t>
        </is>
      </c>
      <c r="B15" s="4" t="inlineStr">
        <is>
          <t>General Business Programs</t>
        </is>
      </c>
      <c r="C15" s="4" t="inlineStr">
        <is>
          <t>Swire</t>
        </is>
      </c>
      <c r="D15" s="4" t="inlineStr">
        <is>
          <t>Swire Summer Internship Programme 2027</t>
        </is>
      </c>
      <c r="E15" s="4" t="inlineStr">
        <is>
          <t>Summer 2027</t>
        </is>
      </c>
      <c r="F15" s="4" t="inlineStr">
        <is>
          <t>Hong Kong for Hong Kong citizens</t>
        </is>
      </c>
      <c r="G15" s="4" t="inlineStr">
        <is>
          <t>Upcoming</t>
        </is>
      </c>
      <c r="H15" s="9" t="n">
        <v>46384</v>
      </c>
      <c r="I15" s="9" t="n">
        <v>46418</v>
      </c>
      <c r="J15" s="4" t="inlineStr">
        <is>
          <t>23:59 HKT (UTC+8)</t>
        </is>
      </c>
      <c r="K15" s="4" t="inlineStr">
        <is>
          <t>No</t>
        </is>
      </c>
      <c r="L15" s="4" t="inlineStr">
        <is>
          <t>2027-07-02 to 2027-08-20</t>
        </is>
      </c>
      <c r="M15" s="4" t="inlineStr">
        <is>
          <t>200 days remaining</t>
        </is>
      </c>
      <c r="N15" s="4" t="inlineStr">
        <is>
          <t>Set opening alert for 2026-12-28</t>
        </is>
      </c>
      <c r="O15" s="4" t="inlineStr">
        <is>
          <t>Own an eight-week business project, develop new skills and pitch a business idea to senior management, with support from a programme buddy and line manager.</t>
        </is>
      </c>
      <c r="P15" s="4" t="inlineStr">
        <is>
          <t>Penultimate-year undergraduate or postgraduate, graduating by July 2028; commercial acumen, initiative, learning agility, leadership potential, teamwork and strong English. Chinese is advantageous.</t>
        </is>
      </c>
      <c r="Q15" s="4" t="inlineStr">
        <is>
          <t>Excellent English; Putonghua or Cantonese advantageous. Hong Kong citizens assigned to Hong Kong projects.</t>
        </is>
      </c>
      <c r="R15" s="4" t="inlineStr">
        <is>
          <t>Online application; video interview in February; virtual group case in March; final interviews in March; offers by mid-April.</t>
        </is>
      </c>
      <c r="S15" s="4" t="inlineStr">
        <is>
          <t>CV; academic details/transcript if requested; work-right/citizenship details; video and case preparation</t>
        </is>
      </c>
      <c r="T15" s="11" t="inlineStr">
        <is>
          <t>https://careers.swire.com/en/careers/swire-summer-internship-programme</t>
        </is>
      </c>
      <c r="U15" s="4" t="inlineStr">
        <is>
          <t>Confirmed 2027 official programme</t>
        </is>
      </c>
      <c r="V15" s="4" t="inlineStr">
        <is>
          <t>Excellent broad-business option with a defined application and selection timeline.</t>
        </is>
      </c>
    </row>
    <row r="16">
      <c r="A16" s="4" t="inlineStr">
        <is>
          <t>HK27-015</t>
        </is>
      </c>
      <c r="B16" s="4" t="inlineStr">
        <is>
          <t>General Business Programs</t>
        </is>
      </c>
      <c r="C16" s="4" t="inlineStr">
        <is>
          <t>HKEX</t>
        </is>
      </c>
      <c r="D16" s="4" t="inlineStr">
        <is>
          <t>Summer Internship Programme 2027</t>
        </is>
      </c>
      <c r="E16" s="4" t="inlineStr">
        <is>
          <t>Summer 2027</t>
        </is>
      </c>
      <c r="F16" s="4" t="inlineStr">
        <is>
          <t>Hong Kong</t>
        </is>
      </c>
      <c r="G16" s="4" t="inlineStr">
        <is>
          <t>Upcoming</t>
        </is>
      </c>
      <c r="H16" s="9" t="n"/>
      <c r="I16" s="9" t="n"/>
      <c r="J16" s="4" t="inlineStr">
        <is>
          <t>Not yet published</t>
        </is>
      </c>
      <c r="K16" s="4" t="inlineStr">
        <is>
          <t>Programme cycle</t>
        </is>
      </c>
      <c r="L16" s="4" t="inlineStr">
        <is>
          <t>10 weeks, June-August 2027</t>
        </is>
      </c>
      <c r="M16" s="4" t="inlineStr">
        <is>
          <t>No confirmed deadline - monitor</t>
        </is>
      </c>
      <c r="N16" s="4" t="inlineStr">
        <is>
          <t>Monitor official page in weekly reminder</t>
        </is>
      </c>
      <c r="O16" s="4" t="inlineStr">
        <is>
          <t>Direct project responsibility at the centre of global markets across functions including Finance, Strategy, Markets, Operations, Listing, Risk, Sustainability and HR.</t>
        </is>
      </c>
      <c r="P16" s="4" t="inlineStr">
        <is>
          <t>Expected to target penultimate-year students; prior cycle required strong academics, commercial awareness, problem solving, adaptability, teamwork and excellent English. Confirm 2027 criteria when posted.</t>
        </is>
      </c>
      <c r="Q16" s="4" t="inlineStr">
        <is>
          <t>Confirm in the 2027 posting; applicant profile is strongly aligned.</t>
        </is>
      </c>
      <c r="R16" s="4" t="inlineStr">
        <is>
          <t>Applications officially scheduled to open in September 2026; later stages will be published with the vacancy.</t>
        </is>
      </c>
      <c r="S16" s="4" t="inlineStr">
        <is>
          <t>CV; transcript; work-authorization details; division preferences; interview preparation</t>
        </is>
      </c>
      <c r="T16" s="11" t="inlineStr">
        <is>
          <t>https://www.hkexgroup.com/About-HKEX/Careers-at-HKEX/Early-Careers?sc_lang=en</t>
        </is>
      </c>
      <c r="U16" s="4" t="inlineStr">
        <is>
          <t>Official 2027 opening month; exact date pending</t>
        </is>
      </c>
      <c r="V16" s="4" t="inlineStr">
        <is>
          <t>Set an opening alert for 1 September 2026 and verify weekly until the application appears.</t>
        </is>
      </c>
    </row>
    <row r="17">
      <c r="A17" s="4" t="inlineStr">
        <is>
          <t>HK27-016</t>
        </is>
      </c>
      <c r="B17" s="4" t="inlineStr">
        <is>
          <t>General Business Programs</t>
        </is>
      </c>
      <c r="C17" s="4" t="inlineStr">
        <is>
          <t>Securities and Futures Commission</t>
        </is>
      </c>
      <c r="D17" s="4" t="inlineStr">
        <is>
          <t>Summer and Winter Internship Programme</t>
        </is>
      </c>
      <c r="E17" s="4" t="inlineStr">
        <is>
          <t>Winter 2026-27 / Summer 2027 watch</t>
        </is>
      </c>
      <c r="F17" s="4" t="inlineStr">
        <is>
          <t>Hong Kong</t>
        </is>
      </c>
      <c r="G17" s="4" t="inlineStr">
        <is>
          <t>Monitor</t>
        </is>
      </c>
      <c r="H17" s="9" t="n">
        <v>46266</v>
      </c>
      <c r="I17" s="9" t="n"/>
      <c r="J17" s="4" t="inlineStr">
        <is>
          <t>Winter deadline not published</t>
        </is>
      </c>
      <c r="K17" s="4" t="inlineStr">
        <is>
          <t>Programme cycle</t>
        </is>
      </c>
      <c r="L17" s="4" t="inlineStr">
        <is>
          <t>Winter usually Dec-Jan; summer six weeks in Jul-Aug</t>
        </is>
      </c>
      <c r="M17" s="4" t="inlineStr">
        <is>
          <t>Opens in 48 days</t>
        </is>
      </c>
      <c r="N17" s="4" t="inlineStr">
        <is>
          <t>Set opening alert for 2026-09-01</t>
        </is>
      </c>
      <c r="O17" s="4" t="inlineStr">
        <is>
          <t>Support SFC divisions with research, reports, document management, systems updates and other operational or drafting work.</t>
        </is>
      </c>
      <c r="P17" s="4" t="inlineStr">
        <is>
          <t>Undergraduate or postgraduate in fields including Law, Accounting, Economics, Finance, Management or IT; analytical, problem-solving and interpersonal skills; integrity; English and Chinese; Microsoft Office.</t>
        </is>
      </c>
      <c r="Q17" s="4" t="inlineStr">
        <is>
          <t>Good spoken and written English and Chinese; local eligibility terms should be checked on the application.</t>
        </is>
      </c>
      <c r="R17" s="4" t="inlineStr">
        <is>
          <t>Winter application starts from September; summer application timing to be confirmed for 2027.</t>
        </is>
      </c>
      <c r="S17" s="4" t="inlineStr">
        <is>
          <t>CV; transcript; work-authorization details; availability; supporting documents requested on form</t>
        </is>
      </c>
      <c r="T17" s="11" t="inlineStr">
        <is>
          <t>https://hksfc.org/TC/Career/Why-the-SFC/Join-us-as-an-Intern/Summer-and-Winter-Internship-Programme?sc_lang=en</t>
        </is>
      </c>
      <c r="U17" s="4" t="inlineStr">
        <is>
          <t>Official recurring timeline; exact 2027 deadlines pending</t>
        </is>
      </c>
      <c r="V17" s="4" t="inlineStr">
        <is>
          <t>High language/profile fit. Check weekly from September for the winter application.</t>
        </is>
      </c>
    </row>
    <row r="18">
      <c r="A18" s="4" t="inlineStr">
        <is>
          <t>HK27-017</t>
        </is>
      </c>
      <c r="B18" s="4" t="inlineStr">
        <is>
          <t>General Business Programs</t>
        </is>
      </c>
      <c r="C18" s="4" t="inlineStr">
        <is>
          <t>Hong Kong Government</t>
        </is>
      </c>
      <c r="D18" s="4" t="inlineStr">
        <is>
          <t>Administrative Service Summer Internship Programme</t>
        </is>
      </c>
      <c r="E18" s="4" t="inlineStr">
        <is>
          <t>Summer 2027 watch</t>
        </is>
      </c>
      <c r="F18" s="4" t="inlineStr">
        <is>
          <t>Hong Kong</t>
        </is>
      </c>
      <c r="G18" s="4" t="inlineStr">
        <is>
          <t>Monitor</t>
        </is>
      </c>
      <c r="H18" s="9" t="n"/>
      <c r="I18" s="9" t="n"/>
      <c r="J18" s="4" t="inlineStr">
        <is>
          <t>Not yet published</t>
        </is>
      </c>
      <c r="K18" s="4" t="inlineStr">
        <is>
          <t>Annual programme</t>
        </is>
      </c>
      <c r="L18" s="4" t="inlineStr">
        <is>
          <t>Prior cycle: two months or more between May and September</t>
        </is>
      </c>
      <c r="M18" s="4" t="inlineStr">
        <is>
          <t>No confirmed deadline - monitor</t>
        </is>
      </c>
      <c r="N18" s="4" t="inlineStr">
        <is>
          <t>Monitor official page in weekly reminder</t>
        </is>
      </c>
      <c r="O18" s="4" t="inlineStr">
        <is>
          <t>Public-service internship designed to build exposure to Administrative Service work and community-focused leadership.</t>
        </is>
      </c>
      <c r="P18" s="4" t="inlineStr">
        <is>
          <t>Prior cycle: Hong Kong permanent resident; full-time tertiary student; leadership, teamwork, community involvement, strong academics; bilingual Chinese/English and trilingual Cantonese/Putonghua/English.</t>
        </is>
      </c>
      <c r="Q18" s="4" t="inlineStr">
        <is>
          <t>Strong match for trilingual applicant; confirm 2027 residency and study-year rules.</t>
        </is>
      </c>
      <c r="R18" s="4" t="inlineStr">
        <is>
          <t>Local students usually apply through their tertiary institution; overseas students follow the official direct process.</t>
        </is>
      </c>
      <c r="S18" s="4" t="inlineStr">
        <is>
          <t>Institution nomination/application; CV or form; academic information; photo; residency evidence</t>
        </is>
      </c>
      <c r="T18" s="11" t="inlineStr">
        <is>
          <t>https://www.ao-recruitment.gov.hk/english/summer_intern.html</t>
        </is>
      </c>
      <c r="U18" s="4" t="inlineStr">
        <is>
          <t>Official prior-cycle reference; 2027 details pending</t>
        </is>
      </c>
      <c r="V18" s="4" t="inlineStr">
        <is>
          <t>Start monitoring in January 2027; prior cycle closed 27 February 2026.</t>
        </is>
      </c>
    </row>
  </sheetData>
  <autoFilter ref="A1:V18"/>
  <conditionalFormatting sqref="M2:M18">
    <cfRule type="expression" priority="1" dxfId="0">
      <formula>ISNUMBER(SEARCH("7-day",M2))</formula>
    </cfRule>
    <cfRule type="expression" priority="2" dxfId="1">
      <formula>OR(ISNUMBER(SEARCH("14-day",M2)),ISNUMBER(SEARCH("30-day",M2)))</formula>
    </cfRule>
  </conditionalFormatting>
  <conditionalFormatting sqref="G2:G18">
    <cfRule type="expression" priority="3" dxfId="2">
      <formula>ISNUMBER(SEARCH("Open",G2))</formula>
    </cfRule>
  </conditionalFormatting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</hyperlinks>
  <pageMargins left="0.75" right="0.75" top="1" bottom="1" header="0.5" footer="0.5"/>
  <tableParts count="1">
    <tablePart xmlns:r="http://schemas.openxmlformats.org/officeDocument/2006/relationships" r:id="rId18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42" customWidth="1" min="3" max="3"/>
    <col width="30" customWidth="1" min="4" max="4"/>
    <col width="18" customWidth="1" min="5" max="5"/>
    <col width="12" customWidth="1" min="6" max="6"/>
    <col width="12" customWidth="1" min="7" max="7"/>
    <col width="15" customWidth="1" min="8" max="8"/>
    <col width="42" customWidth="1" min="9" max="9"/>
    <col width="15" customWidth="1" min="10" max="10"/>
    <col width="45" customWidth="1" min="11" max="11"/>
  </cols>
  <sheetData>
    <row r="1">
      <c r="A1" s="10" t="inlineStr">
        <is>
          <t>Opportunity ID</t>
        </is>
      </c>
      <c r="B1" s="10" t="inlineStr">
        <is>
          <t>Company</t>
        </is>
      </c>
      <c r="C1" s="10" t="inlineStr">
        <is>
          <t>Program / Role</t>
        </is>
      </c>
      <c r="D1" s="10" t="inlineStr">
        <is>
          <t>Category</t>
        </is>
      </c>
      <c r="E1" s="10" t="inlineStr">
        <is>
          <t>Pipeline Status</t>
        </is>
      </c>
      <c r="F1" s="10" t="inlineStr">
        <is>
          <t>Priority</t>
        </is>
      </c>
      <c r="G1" s="10" t="inlineStr">
        <is>
          <t>Owner</t>
        </is>
      </c>
      <c r="H1" s="10" t="inlineStr">
        <is>
          <t>Last Updated</t>
        </is>
      </c>
      <c r="I1" s="10" t="inlineStr">
        <is>
          <t>Next Task</t>
        </is>
      </c>
      <c r="J1" s="10" t="inlineStr">
        <is>
          <t>Next Task Due</t>
        </is>
      </c>
      <c r="K1" s="10" t="inlineStr">
        <is>
          <t>Notes</t>
        </is>
      </c>
    </row>
    <row r="2">
      <c r="A2" s="4" t="inlineStr">
        <is>
          <t>HK27-001</t>
        </is>
      </c>
      <c r="B2" s="4" t="inlineStr">
        <is>
          <t>HSBC</t>
        </is>
      </c>
      <c r="C2" s="4" t="inlineStr">
        <is>
          <t>Investment Banking - Internship</t>
        </is>
      </c>
      <c r="D2" s="4" t="inlineStr">
        <is>
          <t>Investment Banking &amp; Finance</t>
        </is>
      </c>
      <c r="E2" s="4" t="inlineStr">
        <is>
          <t>Interested</t>
        </is>
      </c>
      <c r="F2" s="4" t="inlineStr">
        <is>
          <t>Medium</t>
        </is>
      </c>
      <c r="G2" s="4" t="inlineStr">
        <is>
          <t>Me</t>
        </is>
      </c>
      <c r="H2" s="9" t="n">
        <v>46218</v>
      </c>
      <c r="I2" s="4" t="inlineStr">
        <is>
          <t>Apply as soon as materials are ready</t>
        </is>
      </c>
      <c r="J2" s="9" t="n">
        <v>46325</v>
      </c>
      <c r="K2" s="4" t="inlineStr"/>
    </row>
    <row r="3">
      <c r="A3" s="4" t="inlineStr">
        <is>
          <t>HK27-002</t>
        </is>
      </c>
      <c r="B3" s="4" t="inlineStr">
        <is>
          <t>HSBC</t>
        </is>
      </c>
      <c r="C3" s="4" t="inlineStr">
        <is>
          <t>Investment Banking - Infrastructure Finance Internship</t>
        </is>
      </c>
      <c r="D3" s="4" t="inlineStr">
        <is>
          <t>Investment Banking &amp; Finance</t>
        </is>
      </c>
      <c r="E3" s="4" t="inlineStr">
        <is>
          <t>Interested</t>
        </is>
      </c>
      <c r="F3" s="4" t="inlineStr">
        <is>
          <t>Medium</t>
        </is>
      </c>
      <c r="G3" s="4" t="inlineStr">
        <is>
          <t>Me</t>
        </is>
      </c>
      <c r="H3" s="9" t="n">
        <v>46218</v>
      </c>
      <c r="I3" s="4" t="inlineStr">
        <is>
          <t>Apply as soon as materials are ready</t>
        </is>
      </c>
      <c r="J3" s="9" t="n">
        <v>46325</v>
      </c>
      <c r="K3" s="4" t="inlineStr"/>
    </row>
    <row r="4">
      <c r="A4" s="4" t="inlineStr">
        <is>
          <t>HK27-003</t>
        </is>
      </c>
      <c r="B4" s="4" t="inlineStr">
        <is>
          <t>HSBC</t>
        </is>
      </c>
      <c r="C4" s="4" t="inlineStr">
        <is>
          <t>Markets - Sales and Trading Internship</t>
        </is>
      </c>
      <c r="D4" s="4" t="inlineStr">
        <is>
          <t>Investment Banking &amp; Finance</t>
        </is>
      </c>
      <c r="E4" s="4" t="inlineStr">
        <is>
          <t>Interested</t>
        </is>
      </c>
      <c r="F4" s="4" t="inlineStr">
        <is>
          <t>Medium</t>
        </is>
      </c>
      <c r="G4" s="4" t="inlineStr">
        <is>
          <t>Me</t>
        </is>
      </c>
      <c r="H4" s="9" t="n">
        <v>46218</v>
      </c>
      <c r="I4" s="4" t="inlineStr">
        <is>
          <t>Apply as soon as materials are ready</t>
        </is>
      </c>
      <c r="J4" s="9" t="n">
        <v>46325</v>
      </c>
      <c r="K4" s="4" t="inlineStr"/>
    </row>
    <row r="5">
      <c r="A5" s="4" t="inlineStr">
        <is>
          <t>HK27-004</t>
        </is>
      </c>
      <c r="B5" s="4" t="inlineStr">
        <is>
          <t>HSBC</t>
        </is>
      </c>
      <c r="C5" s="4" t="inlineStr">
        <is>
          <t>Global Investment Research Internship</t>
        </is>
      </c>
      <c r="D5" s="4" t="inlineStr">
        <is>
          <t>Investment Banking &amp; Finance</t>
        </is>
      </c>
      <c r="E5" s="4" t="inlineStr">
        <is>
          <t>Interested</t>
        </is>
      </c>
      <c r="F5" s="4" t="inlineStr">
        <is>
          <t>Medium</t>
        </is>
      </c>
      <c r="G5" s="4" t="inlineStr">
        <is>
          <t>Me</t>
        </is>
      </c>
      <c r="H5" s="9" t="n">
        <v>46218</v>
      </c>
      <c r="I5" s="4" t="inlineStr">
        <is>
          <t>Apply as soon as materials are ready</t>
        </is>
      </c>
      <c r="J5" s="9" t="n">
        <v>46325</v>
      </c>
      <c r="K5" s="4" t="inlineStr"/>
    </row>
    <row r="6">
      <c r="A6" s="4" t="inlineStr">
        <is>
          <t>HK27-005</t>
        </is>
      </c>
      <c r="B6" s="4" t="inlineStr">
        <is>
          <t>Goldman Sachs</t>
        </is>
      </c>
      <c r="C6" s="4" t="inlineStr">
        <is>
          <t>2027 Summer Analyst Program - Asia Pacific</t>
        </is>
      </c>
      <c r="D6" s="4" t="inlineStr">
        <is>
          <t>Investment Banking &amp; Finance</t>
        </is>
      </c>
      <c r="E6" s="4" t="inlineStr">
        <is>
          <t>Interested</t>
        </is>
      </c>
      <c r="F6" s="4" t="inlineStr">
        <is>
          <t>Medium</t>
        </is>
      </c>
      <c r="G6" s="4" t="inlineStr">
        <is>
          <t>Me</t>
        </is>
      </c>
      <c r="H6" s="9" t="n">
        <v>46218</v>
      </c>
      <c r="I6" s="4" t="inlineStr">
        <is>
          <t>Monitor official page in weekly reminder</t>
        </is>
      </c>
      <c r="J6" s="12" t="n"/>
      <c r="K6" s="4" t="inlineStr"/>
    </row>
    <row r="7">
      <c r="A7" s="4" t="inlineStr">
        <is>
          <t>HK27-006</t>
        </is>
      </c>
      <c r="B7" s="4" t="inlineStr">
        <is>
          <t>Bank of America</t>
        </is>
      </c>
      <c r="C7" s="4" t="inlineStr">
        <is>
          <t>Global Capital Markets Summer Analyst - 2027</t>
        </is>
      </c>
      <c r="D7" s="4" t="inlineStr">
        <is>
          <t>Investment Banking &amp; Finance</t>
        </is>
      </c>
      <c r="E7" s="4" t="inlineStr">
        <is>
          <t>Interested</t>
        </is>
      </c>
      <c r="F7" s="4" t="inlineStr">
        <is>
          <t>Medium</t>
        </is>
      </c>
      <c r="G7" s="4" t="inlineStr">
        <is>
          <t>Me</t>
        </is>
      </c>
      <c r="H7" s="9" t="n">
        <v>46218</v>
      </c>
      <c r="I7" s="4" t="inlineStr">
        <is>
          <t>Apply as soon as materials are ready</t>
        </is>
      </c>
      <c r="J7" s="9" t="n">
        <v>46295</v>
      </c>
      <c r="K7" s="4" t="inlineStr"/>
    </row>
    <row r="8">
      <c r="A8" s="4" t="inlineStr">
        <is>
          <t>HK27-007</t>
        </is>
      </c>
      <c r="B8" s="4" t="inlineStr">
        <is>
          <t>J.P. Morgan</t>
        </is>
      </c>
      <c r="C8" s="4" t="inlineStr">
        <is>
          <t>Investment Banking Seasonal Internship</t>
        </is>
      </c>
      <c r="D8" s="4" t="inlineStr">
        <is>
          <t>Investment Banking &amp; Finance</t>
        </is>
      </c>
      <c r="E8" s="4" t="inlineStr">
        <is>
          <t>Interested</t>
        </is>
      </c>
      <c r="F8" s="4" t="inlineStr">
        <is>
          <t>Medium</t>
        </is>
      </c>
      <c r="G8" s="4" t="inlineStr">
        <is>
          <t>Me</t>
        </is>
      </c>
      <c r="H8" s="9" t="n">
        <v>46218</v>
      </c>
      <c r="I8" s="4" t="inlineStr">
        <is>
          <t>Monitor official page in weekly reminder</t>
        </is>
      </c>
      <c r="J8" s="12" t="n"/>
      <c r="K8" s="4" t="inlineStr"/>
    </row>
    <row r="9">
      <c r="A9" s="4" t="inlineStr">
        <is>
          <t>HK27-008</t>
        </is>
      </c>
      <c r="B9" s="4" t="inlineStr">
        <is>
          <t>Deloitte China</t>
        </is>
      </c>
      <c r="C9" s="4" t="inlineStr">
        <is>
          <t>Summer or Winter Internship - Consulting</t>
        </is>
      </c>
      <c r="D9" s="4" t="inlineStr">
        <is>
          <t>Consulting</t>
        </is>
      </c>
      <c r="E9" s="4" t="inlineStr">
        <is>
          <t>Interested</t>
        </is>
      </c>
      <c r="F9" s="4" t="inlineStr">
        <is>
          <t>Medium</t>
        </is>
      </c>
      <c r="G9" s="4" t="inlineStr">
        <is>
          <t>Me</t>
        </is>
      </c>
      <c r="H9" s="9" t="n">
        <v>46218</v>
      </c>
      <c r="I9" s="4" t="inlineStr">
        <is>
          <t>Monitor official page in weekly reminder</t>
        </is>
      </c>
      <c r="J9" s="12" t="n"/>
      <c r="K9" s="4" t="inlineStr"/>
    </row>
    <row r="10">
      <c r="A10" s="4" t="inlineStr">
        <is>
          <t>HK27-009</t>
        </is>
      </c>
      <c r="B10" s="4" t="inlineStr">
        <is>
          <t>KPMG China</t>
        </is>
      </c>
      <c r="C10" s="4" t="inlineStr">
        <is>
          <t>Basecamp Internship - Advisory</t>
        </is>
      </c>
      <c r="D10" s="4" t="inlineStr">
        <is>
          <t>Consulting</t>
        </is>
      </c>
      <c r="E10" s="4" t="inlineStr">
        <is>
          <t>Interested</t>
        </is>
      </c>
      <c r="F10" s="4" t="inlineStr">
        <is>
          <t>Medium</t>
        </is>
      </c>
      <c r="G10" s="4" t="inlineStr">
        <is>
          <t>Me</t>
        </is>
      </c>
      <c r="H10" s="9" t="n">
        <v>46218</v>
      </c>
      <c r="I10" s="4" t="inlineStr">
        <is>
          <t>Monitor official page in weekly reminder</t>
        </is>
      </c>
      <c r="J10" s="12" t="n"/>
      <c r="K10" s="4" t="inlineStr"/>
    </row>
    <row r="11">
      <c r="A11" s="4" t="inlineStr">
        <is>
          <t>HK27-010</t>
        </is>
      </c>
      <c r="B11" s="4" t="inlineStr">
        <is>
          <t>Bain &amp; Company</t>
        </is>
      </c>
      <c r="C11" s="4" t="inlineStr">
        <is>
          <t>Associate Consultant Internship</t>
        </is>
      </c>
      <c r="D11" s="4" t="inlineStr">
        <is>
          <t>Consulting</t>
        </is>
      </c>
      <c r="E11" s="4" t="inlineStr">
        <is>
          <t>Interested</t>
        </is>
      </c>
      <c r="F11" s="4" t="inlineStr">
        <is>
          <t>Medium</t>
        </is>
      </c>
      <c r="G11" s="4" t="inlineStr">
        <is>
          <t>Me</t>
        </is>
      </c>
      <c r="H11" s="9" t="n">
        <v>46218</v>
      </c>
      <c r="I11" s="4" t="inlineStr">
        <is>
          <t>Monitor official page in weekly reminder</t>
        </is>
      </c>
      <c r="J11" s="12" t="n"/>
      <c r="K11" s="4" t="inlineStr"/>
    </row>
    <row r="12">
      <c r="A12" s="4" t="inlineStr">
        <is>
          <t>HK27-011</t>
        </is>
      </c>
      <c r="B12" s="4" t="inlineStr">
        <is>
          <t>McKinsey &amp; Company</t>
        </is>
      </c>
      <c r="C12" s="4" t="inlineStr">
        <is>
          <t>Summer Business Analyst Internship</t>
        </is>
      </c>
      <c r="D12" s="4" t="inlineStr">
        <is>
          <t>Consulting</t>
        </is>
      </c>
      <c r="E12" s="4" t="inlineStr">
        <is>
          <t>Interested</t>
        </is>
      </c>
      <c r="F12" s="4" t="inlineStr">
        <is>
          <t>Medium</t>
        </is>
      </c>
      <c r="G12" s="4" t="inlineStr">
        <is>
          <t>Me</t>
        </is>
      </c>
      <c r="H12" s="9" t="n">
        <v>46218</v>
      </c>
      <c r="I12" s="4" t="inlineStr">
        <is>
          <t>Monitor official page in weekly reminder</t>
        </is>
      </c>
      <c r="J12" s="12" t="n"/>
      <c r="K12" s="4" t="inlineStr"/>
    </row>
    <row r="13">
      <c r="A13" s="4" t="inlineStr">
        <is>
          <t>HK27-012</t>
        </is>
      </c>
      <c r="B13" s="4" t="inlineStr">
        <is>
          <t>Cathay Pacific</t>
        </is>
      </c>
      <c r="C13" s="4" t="inlineStr">
        <is>
          <t>Summer Internship Programme - Business / Operations watch</t>
        </is>
      </c>
      <c r="D13" s="4" t="inlineStr">
        <is>
          <t>Supply Chain &amp; Operations</t>
        </is>
      </c>
      <c r="E13" s="4" t="inlineStr">
        <is>
          <t>Interested</t>
        </is>
      </c>
      <c r="F13" s="4" t="inlineStr">
        <is>
          <t>Medium</t>
        </is>
      </c>
      <c r="G13" s="4" t="inlineStr">
        <is>
          <t>Me</t>
        </is>
      </c>
      <c r="H13" s="9" t="n">
        <v>46218</v>
      </c>
      <c r="I13" s="4" t="inlineStr">
        <is>
          <t>Monitor official page in weekly reminder</t>
        </is>
      </c>
      <c r="J13" s="12" t="n"/>
      <c r="K13" s="4" t="inlineStr"/>
    </row>
    <row r="14">
      <c r="A14" s="4" t="inlineStr">
        <is>
          <t>HK27-013</t>
        </is>
      </c>
      <c r="B14" s="4" t="inlineStr">
        <is>
          <t>DHL</t>
        </is>
      </c>
      <c r="C14" s="4" t="inlineStr">
        <is>
          <t>Hong Kong Student Internship Opportunities</t>
        </is>
      </c>
      <c r="D14" s="4" t="inlineStr">
        <is>
          <t>Supply Chain &amp; Operations</t>
        </is>
      </c>
      <c r="E14" s="4" t="inlineStr">
        <is>
          <t>Interested</t>
        </is>
      </c>
      <c r="F14" s="4" t="inlineStr">
        <is>
          <t>Medium</t>
        </is>
      </c>
      <c r="G14" s="4" t="inlineStr">
        <is>
          <t>Me</t>
        </is>
      </c>
      <c r="H14" s="9" t="n">
        <v>46218</v>
      </c>
      <c r="I14" s="4" t="inlineStr">
        <is>
          <t>Monitor official page in weekly reminder</t>
        </is>
      </c>
      <c r="J14" s="12" t="n"/>
      <c r="K14" s="4" t="inlineStr"/>
    </row>
    <row r="15">
      <c r="A15" s="4" t="inlineStr">
        <is>
          <t>HK27-014</t>
        </is>
      </c>
      <c r="B15" s="4" t="inlineStr">
        <is>
          <t>Swire</t>
        </is>
      </c>
      <c r="C15" s="4" t="inlineStr">
        <is>
          <t>Swire Summer Internship Programme 2027</t>
        </is>
      </c>
      <c r="D15" s="4" t="inlineStr">
        <is>
          <t>General Business Programs</t>
        </is>
      </c>
      <c r="E15" s="4" t="inlineStr">
        <is>
          <t>Interested</t>
        </is>
      </c>
      <c r="F15" s="4" t="inlineStr">
        <is>
          <t>Medium</t>
        </is>
      </c>
      <c r="G15" s="4" t="inlineStr">
        <is>
          <t>Me</t>
        </is>
      </c>
      <c r="H15" s="9" t="n">
        <v>46218</v>
      </c>
      <c r="I15" s="4" t="inlineStr">
        <is>
          <t>Set opening alert for 2026-12-28</t>
        </is>
      </c>
      <c r="J15" s="9" t="n">
        <v>46418</v>
      </c>
      <c r="K15" s="4" t="inlineStr"/>
    </row>
    <row r="16">
      <c r="A16" s="4" t="inlineStr">
        <is>
          <t>HK27-015</t>
        </is>
      </c>
      <c r="B16" s="4" t="inlineStr">
        <is>
          <t>HKEX</t>
        </is>
      </c>
      <c r="C16" s="4" t="inlineStr">
        <is>
          <t>Summer Internship Programme 2027</t>
        </is>
      </c>
      <c r="D16" s="4" t="inlineStr">
        <is>
          <t>General Business Programs</t>
        </is>
      </c>
      <c r="E16" s="4" t="inlineStr">
        <is>
          <t>Interested</t>
        </is>
      </c>
      <c r="F16" s="4" t="inlineStr">
        <is>
          <t>Medium</t>
        </is>
      </c>
      <c r="G16" s="4" t="inlineStr">
        <is>
          <t>Me</t>
        </is>
      </c>
      <c r="H16" s="9" t="n">
        <v>46218</v>
      </c>
      <c r="I16" s="4" t="inlineStr">
        <is>
          <t>Monitor official page in weekly reminder</t>
        </is>
      </c>
      <c r="J16" s="12" t="n"/>
      <c r="K16" s="4" t="inlineStr"/>
    </row>
    <row r="17">
      <c r="A17" s="4" t="inlineStr">
        <is>
          <t>HK27-016</t>
        </is>
      </c>
      <c r="B17" s="4" t="inlineStr">
        <is>
          <t>Securities and Futures Commission</t>
        </is>
      </c>
      <c r="C17" s="4" t="inlineStr">
        <is>
          <t>Summer and Winter Internship Programme</t>
        </is>
      </c>
      <c r="D17" s="4" t="inlineStr">
        <is>
          <t>General Business Programs</t>
        </is>
      </c>
      <c r="E17" s="4" t="inlineStr">
        <is>
          <t>Interested</t>
        </is>
      </c>
      <c r="F17" s="4" t="inlineStr">
        <is>
          <t>Medium</t>
        </is>
      </c>
      <c r="G17" s="4" t="inlineStr">
        <is>
          <t>Me</t>
        </is>
      </c>
      <c r="H17" s="9" t="n">
        <v>46218</v>
      </c>
      <c r="I17" s="4" t="inlineStr">
        <is>
          <t>Set opening alert for 2026-09-01</t>
        </is>
      </c>
      <c r="J17" s="9" t="n">
        <v>46266</v>
      </c>
      <c r="K17" s="4" t="inlineStr"/>
    </row>
    <row r="18">
      <c r="A18" s="4" t="inlineStr">
        <is>
          <t>HK27-017</t>
        </is>
      </c>
      <c r="B18" s="4" t="inlineStr">
        <is>
          <t>Hong Kong Government</t>
        </is>
      </c>
      <c r="C18" s="4" t="inlineStr">
        <is>
          <t>Administrative Service Summer Internship Programme</t>
        </is>
      </c>
      <c r="D18" s="4" t="inlineStr">
        <is>
          <t>General Business Programs</t>
        </is>
      </c>
      <c r="E18" s="4" t="inlineStr">
        <is>
          <t>Interested</t>
        </is>
      </c>
      <c r="F18" s="4" t="inlineStr">
        <is>
          <t>Medium</t>
        </is>
      </c>
      <c r="G18" s="4" t="inlineStr">
        <is>
          <t>Me</t>
        </is>
      </c>
      <c r="H18" s="9" t="n">
        <v>46218</v>
      </c>
      <c r="I18" s="4" t="inlineStr">
        <is>
          <t>Monitor official page in weekly reminder</t>
        </is>
      </c>
      <c r="J18" s="12" t="n"/>
      <c r="K18" s="4" t="inlineStr"/>
    </row>
  </sheetData>
  <dataValidations count="2">
    <dataValidation sqref="E2:E500" showDropDown="0" showInputMessage="0" showErrorMessage="0" allowBlank="0" type="list">
      <formula1>"Interested,Preparing,Applied,Testing,Interviewing,Offer,Rejected,Closed"</formula1>
    </dataValidation>
    <dataValidation sqref="F2:F500" showDropDown="0" showInputMessage="0" showErrorMessage="0" allowBlank="0" type="list">
      <formula1>"High,Medium,Low"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18" customWidth="1" min="3" max="3"/>
    <col width="75" customWidth="1" min="4" max="4"/>
    <col width="18" customWidth="1" min="5" max="5"/>
  </cols>
  <sheetData>
    <row r="1">
      <c r="A1" s="10" t="inlineStr">
        <is>
          <t>Document / Task</t>
        </is>
      </c>
      <c r="B1" s="10" t="inlineStr">
        <is>
          <t>Category</t>
        </is>
      </c>
      <c r="C1" s="10" t="inlineStr">
        <is>
          <t>Readiness</t>
        </is>
      </c>
      <c r="D1" s="10" t="inlineStr">
        <is>
          <t>Action</t>
        </is>
      </c>
      <c r="E1" s="10" t="inlineStr">
        <is>
          <t>Target Date</t>
        </is>
      </c>
    </row>
    <row r="2">
      <c r="A2" s="4" t="inlineStr">
        <is>
          <t>Master CV</t>
        </is>
      </c>
      <c r="B2" s="4" t="inlineStr">
        <is>
          <t>Core</t>
        </is>
      </c>
      <c r="C2" s="4" t="inlineStr">
        <is>
          <t>Preparing</t>
        </is>
      </c>
      <c r="D2" s="4" t="inlineStr">
        <is>
          <t>Tailor achievements for consulting, finance, operations and general business variants</t>
        </is>
      </c>
      <c r="E2" s="4" t="inlineStr"/>
    </row>
    <row r="3">
      <c r="A3" s="4" t="inlineStr">
        <is>
          <t>Consulting CV</t>
        </is>
      </c>
      <c r="B3" s="4" t="inlineStr">
        <is>
          <t>Consulting</t>
        </is>
      </c>
      <c r="C3" s="4" t="inlineStr">
        <is>
          <t>Not started</t>
        </is>
      </c>
      <c r="D3" s="4" t="inlineStr">
        <is>
          <t>Emphasize leadership, impact, problem solving and quantified outcomes</t>
        </is>
      </c>
      <c r="E3" s="4" t="inlineStr"/>
    </row>
    <row r="4">
      <c r="A4" s="4" t="inlineStr">
        <is>
          <t>Finance CV</t>
        </is>
      </c>
      <c r="B4" s="4" t="inlineStr">
        <is>
          <t>Investment Banking &amp; Finance</t>
        </is>
      </c>
      <c r="C4" s="4" t="inlineStr">
        <is>
          <t>Not started</t>
        </is>
      </c>
      <c r="D4" s="4" t="inlineStr">
        <is>
          <t>Emphasize finance interest, analytical work, transactions, markets and technical skills</t>
        </is>
      </c>
      <c r="E4" s="4" t="inlineStr"/>
    </row>
    <row r="5">
      <c r="A5" s="4" t="inlineStr">
        <is>
          <t>Operations CV</t>
        </is>
      </c>
      <c r="B5" s="4" t="inlineStr">
        <is>
          <t>Supply Chain &amp; Operations</t>
        </is>
      </c>
      <c r="C5" s="4" t="inlineStr">
        <is>
          <t>Not started</t>
        </is>
      </c>
      <c r="D5" s="4" t="inlineStr">
        <is>
          <t>Emphasize process improvement, analytics, teamwork and execution</t>
        </is>
      </c>
      <c r="E5" s="4" t="inlineStr"/>
    </row>
    <row r="6">
      <c r="A6" s="4" t="inlineStr">
        <is>
          <t>General Business CV</t>
        </is>
      </c>
      <c r="B6" s="4" t="inlineStr">
        <is>
          <t>General Business Programs</t>
        </is>
      </c>
      <c r="C6" s="4" t="inlineStr">
        <is>
          <t>Not started</t>
        </is>
      </c>
      <c r="D6" s="4" t="inlineStr">
        <is>
          <t>Emphasize commercial judgment, leadership, adaptability and cross-functional projects</t>
        </is>
      </c>
      <c r="E6" s="4" t="inlineStr"/>
    </row>
    <row r="7">
      <c r="A7" s="4" t="inlineStr">
        <is>
          <t>Master cover-letter bank</t>
        </is>
      </c>
      <c r="B7" s="4" t="inlineStr">
        <is>
          <t>All</t>
        </is>
      </c>
      <c r="C7" s="4" t="inlineStr">
        <is>
          <t>Not started</t>
        </is>
      </c>
      <c r="D7" s="4" t="inlineStr">
        <is>
          <t>Prepare modular motivation, company-fit and experience paragraphs</t>
        </is>
      </c>
      <c r="E7" s="4" t="inlineStr"/>
    </row>
    <row r="8">
      <c r="A8" s="4" t="inlineStr">
        <is>
          <t>Official transcript</t>
        </is>
      </c>
      <c r="B8" s="4" t="inlineStr">
        <is>
          <t>All</t>
        </is>
      </c>
      <c r="C8" s="4" t="inlineStr">
        <is>
          <t>Not started</t>
        </is>
      </c>
      <c r="D8" s="4" t="inlineStr">
        <is>
          <t>Request a current PDF and confirm grading scale</t>
        </is>
      </c>
      <c r="E8" s="4" t="inlineStr"/>
    </row>
    <row r="9">
      <c r="A9" s="4" t="inlineStr">
        <is>
          <t>HK work-right evidence</t>
        </is>
      </c>
      <c r="B9" s="4" t="inlineStr">
        <is>
          <t>All</t>
        </is>
      </c>
      <c r="C9" s="4" t="inlineStr">
        <is>
          <t>Ready</t>
        </is>
      </c>
      <c r="D9" s="4" t="inlineStr">
        <is>
          <t>Keep HKID or relevant authorization evidence available where requested</t>
        </is>
      </c>
      <c r="E9" s="4" t="inlineStr"/>
    </row>
    <row r="10">
      <c r="A10" s="4" t="inlineStr">
        <is>
          <t>English/Cantonese/Mandarin profile</t>
        </is>
      </c>
      <c r="B10" s="4" t="inlineStr">
        <is>
          <t>All</t>
        </is>
      </c>
      <c r="C10" s="4" t="inlineStr">
        <is>
          <t>Ready</t>
        </is>
      </c>
      <c r="D10" s="4" t="inlineStr">
        <is>
          <t>Use consistent proficiency wording across applications</t>
        </is>
      </c>
      <c r="E10" s="4" t="inlineStr"/>
    </row>
    <row r="11">
      <c r="A11" s="4" t="inlineStr">
        <is>
          <t>Online assessment preparation</t>
        </is>
      </c>
      <c r="B11" s="4" t="inlineStr">
        <is>
          <t>All</t>
        </is>
      </c>
      <c r="C11" s="4" t="inlineStr">
        <is>
          <t>Not started</t>
        </is>
      </c>
      <c r="D11" s="4" t="inlineStr">
        <is>
          <t>Practice numerical, verbal, situational judgment and work-style assessments</t>
        </is>
      </c>
      <c r="E11" s="4" t="inlineStr"/>
    </row>
    <row r="12">
      <c r="A12" s="4" t="inlineStr">
        <is>
          <t>Consulting case preparation</t>
        </is>
      </c>
      <c r="B12" s="4" t="inlineStr">
        <is>
          <t>Consulting</t>
        </is>
      </c>
      <c r="C12" s="4" t="inlineStr">
        <is>
          <t>Not started</t>
        </is>
      </c>
      <c r="D12" s="4" t="inlineStr">
        <is>
          <t>Build case framework practice schedule and fit-interview story bank</t>
        </is>
      </c>
      <c r="E12" s="4" t="inlineStr"/>
    </row>
    <row r="13">
      <c r="A13" s="4" t="inlineStr">
        <is>
          <t>Finance technical preparation</t>
        </is>
      </c>
      <c r="B13" s="4" t="inlineStr">
        <is>
          <t>Investment Banking &amp; Finance</t>
        </is>
      </c>
      <c r="C13" s="4" t="inlineStr">
        <is>
          <t>Not started</t>
        </is>
      </c>
      <c r="D13" s="4" t="inlineStr">
        <is>
          <t>Accounting, valuation, markets, commercial awareness and deal discussion</t>
        </is>
      </c>
      <c r="E13" s="4" t="inlineStr"/>
    </row>
  </sheetData>
  <dataValidations count="1">
    <dataValidation sqref="C2:C200" showDropDown="0" showInputMessage="0" showErrorMessage="0" allowBlank="0" type="list">
      <formula1>"Not started,Preparing,Ready,Needs update"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  <col width="65" customWidth="1" min="4" max="4"/>
    <col width="80" customWidth="1" min="5" max="5"/>
  </cols>
  <sheetData>
    <row r="1">
      <c r="A1" s="10" t="inlineStr">
        <is>
          <t>Category</t>
        </is>
      </c>
      <c r="B1" s="10" t="inlineStr">
        <is>
          <t>Company</t>
        </is>
      </c>
      <c r="C1" s="10" t="inlineStr">
        <is>
          <t>Current Tracker Status</t>
        </is>
      </c>
      <c r="D1" s="10" t="inlineStr">
        <is>
          <t>Official Careers / Programme Link</t>
        </is>
      </c>
      <c r="E1" s="10" t="inlineStr">
        <is>
          <t>Monitoring Note</t>
        </is>
      </c>
    </row>
    <row r="2">
      <c r="A2" s="4" t="inlineStr">
        <is>
          <t>Consulting</t>
        </is>
      </c>
      <c r="B2" s="4" t="inlineStr">
        <is>
          <t>Bain &amp; Company</t>
        </is>
      </c>
      <c r="C2" s="4" t="inlineStr">
        <is>
          <t>Monitor</t>
        </is>
      </c>
      <c r="D2" s="11" t="inlineStr">
        <is>
          <t>https://www.bain.com/careers/work-with-us/internships-programs/</t>
        </is>
      </c>
      <c r="E2" s="4" t="inlineStr">
        <is>
          <t>Use the official office selector and apply only when Hong Kong is available.</t>
        </is>
      </c>
    </row>
    <row r="3">
      <c r="A3" s="4" t="inlineStr">
        <is>
          <t>Consulting</t>
        </is>
      </c>
      <c r="B3" s="4" t="inlineStr">
        <is>
          <t>Deloitte China</t>
        </is>
      </c>
      <c r="C3" s="4" t="inlineStr">
        <is>
          <t>Monitor</t>
        </is>
      </c>
      <c r="D3" s="11" t="inlineStr">
        <is>
          <t>https://www.deloitte.com/cn/en/careers/explore-your-fit/students/internship-program.html?icid=toggle_cn_en</t>
        </is>
      </c>
      <c r="E3" s="4" t="inlineStr">
        <is>
          <t>Official guidance: winter recruitment normally Oct-Nov; summer recruitment normally Apr-May.</t>
        </is>
      </c>
    </row>
    <row r="4">
      <c r="A4" s="4" t="inlineStr">
        <is>
          <t>Consulting</t>
        </is>
      </c>
      <c r="B4" s="4" t="inlineStr">
        <is>
          <t>KPMG China</t>
        </is>
      </c>
      <c r="C4" s="4" t="inlineStr">
        <is>
          <t>Monitor</t>
        </is>
      </c>
      <c r="D4" s="11" t="inlineStr">
        <is>
          <t>https://kpmg.com/cn/en/careers/campus/basecamp.html</t>
        </is>
      </c>
      <c r="E4" s="4" t="inlineStr">
        <is>
          <t>Monitor Basecamp for the next winter and summer intake tiles.</t>
        </is>
      </c>
    </row>
    <row r="5">
      <c r="A5" s="4" t="inlineStr">
        <is>
          <t>Consulting</t>
        </is>
      </c>
      <c r="B5" s="4" t="inlineStr">
        <is>
          <t>McKinsey &amp; Company</t>
        </is>
      </c>
      <c r="C5" s="4" t="inlineStr">
        <is>
          <t>Monitor</t>
        </is>
      </c>
      <c r="D5" s="11" t="inlineStr">
        <is>
          <t>https://www.mckinsey.com/careers/students/en</t>
        </is>
      </c>
      <c r="E5" s="4" t="inlineStr">
        <is>
          <t>Use McKinsey's deadline finder and job search for Hong Kong updates.</t>
        </is>
      </c>
    </row>
    <row r="6">
      <c r="A6" s="4" t="inlineStr">
        <is>
          <t>General Business Programs</t>
        </is>
      </c>
      <c r="B6" s="4" t="inlineStr">
        <is>
          <t>HKEX</t>
        </is>
      </c>
      <c r="C6" s="4" t="inlineStr">
        <is>
          <t>Upcoming</t>
        </is>
      </c>
      <c r="D6" s="11" t="inlineStr">
        <is>
          <t>https://www.hkexgroup.com/About-HKEX/Careers-at-HKEX/Early-Careers?sc_lang=en</t>
        </is>
      </c>
      <c r="E6" s="4" t="inlineStr">
        <is>
          <t>Set an opening alert for 1 September 2026 and verify weekly until the application appears.</t>
        </is>
      </c>
    </row>
    <row r="7">
      <c r="A7" s="4" t="inlineStr">
        <is>
          <t>General Business Programs</t>
        </is>
      </c>
      <c r="B7" s="4" t="inlineStr">
        <is>
          <t>Hong Kong Government</t>
        </is>
      </c>
      <c r="C7" s="4" t="inlineStr">
        <is>
          <t>Monitor</t>
        </is>
      </c>
      <c r="D7" s="11" t="inlineStr">
        <is>
          <t>https://www.ao-recruitment.gov.hk/english/summer_intern.html</t>
        </is>
      </c>
      <c r="E7" s="4" t="inlineStr">
        <is>
          <t>Start monitoring in January 2027; prior cycle closed 27 February 2026.</t>
        </is>
      </c>
    </row>
    <row r="8">
      <c r="A8" s="4" t="inlineStr">
        <is>
          <t>General Business Programs</t>
        </is>
      </c>
      <c r="B8" s="4" t="inlineStr">
        <is>
          <t>Securities and Futures Commission</t>
        </is>
      </c>
      <c r="C8" s="4" t="inlineStr">
        <is>
          <t>Monitor</t>
        </is>
      </c>
      <c r="D8" s="11" t="inlineStr">
        <is>
          <t>https://hksfc.org/TC/Career/Why-the-SFC/Join-us-as-an-Intern/Summer-and-Winter-Internship-Programme?sc_lang=en</t>
        </is>
      </c>
      <c r="E8" s="4" t="inlineStr">
        <is>
          <t>High language/profile fit. Check weekly from September for the winter application.</t>
        </is>
      </c>
    </row>
    <row r="9">
      <c r="A9" s="4" t="inlineStr">
        <is>
          <t>General Business Programs</t>
        </is>
      </c>
      <c r="B9" s="4" t="inlineStr">
        <is>
          <t>Swire</t>
        </is>
      </c>
      <c r="C9" s="4" t="inlineStr">
        <is>
          <t>Upcoming</t>
        </is>
      </c>
      <c r="D9" s="11" t="inlineStr">
        <is>
          <t>https://careers.swire.com/en/careers/swire-summer-internship-programme</t>
        </is>
      </c>
      <c r="E9" s="4" t="inlineStr">
        <is>
          <t>Excellent broad-business option with a defined application and selection timeline.</t>
        </is>
      </c>
    </row>
    <row r="10">
      <c r="A10" s="4" t="inlineStr">
        <is>
          <t>Investment Banking &amp; Finance</t>
        </is>
      </c>
      <c r="B10" s="4" t="inlineStr">
        <is>
          <t>Bank of America</t>
        </is>
      </c>
      <c r="C10" s="4" t="inlineStr">
        <is>
          <t>Open</t>
        </is>
      </c>
      <c r="D10" s="11" t="inlineStr">
        <is>
          <t>https://careers.bankofamerica.com/en-us/students/job-detail/14375/global-capital-markets-summer-analyst-2027-hong-kong-hong-kong-hong-kong</t>
        </is>
      </c>
      <c r="E10" s="4" t="inlineStr">
        <is>
          <t>Direct fit for a 2028 graduate; deadline is employer-published.</t>
        </is>
      </c>
    </row>
    <row r="11">
      <c r="A11" s="4" t="inlineStr">
        <is>
          <t>Investment Banking &amp; Finance</t>
        </is>
      </c>
      <c r="B11" s="4" t="inlineStr">
        <is>
          <t>Goldman Sachs</t>
        </is>
      </c>
      <c r="C11" s="4" t="inlineStr">
        <is>
          <t>Open / verify location</t>
        </is>
      </c>
      <c r="D11" s="11" t="inlineStr">
        <is>
          <t>https://www.goldmansachs.com/careers/students/programs-and-internships/asia-pacific/summer-analyst</t>
        </is>
      </c>
      <c r="E11" s="4" t="inlineStr">
        <is>
          <t>Check Apply Now immediately for live Hong Kong divisions; no single programme-wide deadline is published.</t>
        </is>
      </c>
    </row>
    <row r="12">
      <c r="A12" s="4" t="inlineStr">
        <is>
          <t>Investment Banking &amp; Finance</t>
        </is>
      </c>
      <c r="B12" s="4" t="inlineStr">
        <is>
          <t>HSBC</t>
        </is>
      </c>
      <c r="C12" s="4" t="inlineStr">
        <is>
          <t>Open</t>
        </is>
      </c>
      <c r="D12" s="11" t="inlineStr">
        <is>
          <t>https://apply.careers.hsbc.com/emergingtalent/job/Central-Investment-Banking-Internship-Hong/1365768357/</t>
        </is>
      </c>
      <c r="E12" s="4" t="inlineStr">
        <is>
          <t>Apply early; HSBC states programmes may close before the published date.</t>
        </is>
      </c>
    </row>
    <row r="13">
      <c r="A13" s="4" t="inlineStr">
        <is>
          <t>Investment Banking &amp; Finance</t>
        </is>
      </c>
      <c r="B13" s="4" t="inlineStr">
        <is>
          <t>J.P. Morgan</t>
        </is>
      </c>
      <c r="C13" s="4" t="inlineStr">
        <is>
          <t>Monitor</t>
        </is>
      </c>
      <c r="D13" s="11" t="inlineStr">
        <is>
          <t>https://careers.jpmorgan.com/US/en/students/programs/investment-banking-seasonal-analyst</t>
        </is>
      </c>
      <c r="E13" s="4" t="inlineStr">
        <is>
          <t>Useful winter/off-cycle target. The official page only displays locations that are currently open.</t>
        </is>
      </c>
    </row>
    <row r="14">
      <c r="A14" s="4" t="inlineStr">
        <is>
          <t>Supply Chain &amp; Operations</t>
        </is>
      </c>
      <c r="B14" s="4" t="inlineStr">
        <is>
          <t>Cathay Pacific</t>
        </is>
      </c>
      <c r="C14" s="4" t="inlineStr">
        <is>
          <t>Monitor</t>
        </is>
      </c>
      <c r="D14" s="11" t="inlineStr">
        <is>
          <t>https://careers.cathaypacific.com/our-teams/future-talent</t>
        </is>
      </c>
      <c r="E14" s="4" t="inlineStr">
        <is>
          <t>Monitor from early 2027; do not treat the prior-cycle dates as the 2027 deadline.</t>
        </is>
      </c>
    </row>
    <row r="15">
      <c r="A15" s="4" t="inlineStr">
        <is>
          <t>Supply Chain &amp; Operations</t>
        </is>
      </c>
      <c r="B15" s="4" t="inlineStr">
        <is>
          <t>DHL</t>
        </is>
      </c>
      <c r="C15" s="4" t="inlineStr">
        <is>
          <t>Monitor</t>
        </is>
      </c>
      <c r="D15" s="11" t="inlineStr">
        <is>
          <t>https://careers.dhl.com/apac/en/students-graduates</t>
        </is>
      </c>
      <c r="E15" s="4" t="inlineStr">
        <is>
          <t>The Hong Kong management-trainee page is graduate-focused; use student vacancies for internship eligibility.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</hyperlinks>
  <pageMargins left="0.75" right="0.75" top="1" bottom="1" header="0.5" footer="0.5"/>
  <tableParts count="1">
    <tablePart xmlns:r="http://schemas.openxmlformats.org/officeDocument/2006/relationships" r:id="rId15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05" customWidth="1" min="2" max="2"/>
  </cols>
  <sheetData>
    <row r="1" ht="34" customHeight="1">
      <c r="A1" s="1" t="inlineStr">
        <is>
          <t>How to Use This Tracker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Updated 15 July 2026; dates must be rechecked before submission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13" t="inlineStr">
        <is>
          <t>1. Choose a category</t>
        </is>
      </c>
      <c r="B4" s="4" t="inlineStr">
        <is>
          <t>Use Dashboard cell B4 or the filters on Opportunities to switch among Consulting, Investment Banking &amp; Finance, Supply Chain &amp; Operations and General Business Programs.</t>
        </is>
      </c>
      <c r="C4" s="2" t="n"/>
      <c r="D4" s="2" t="n"/>
      <c r="E4" s="2" t="n"/>
      <c r="F4" s="2" t="n"/>
      <c r="G4" s="2" t="n"/>
      <c r="H4" s="2" t="n"/>
    </row>
    <row r="5">
      <c r="A5" s="13" t="inlineStr">
        <is>
          <t>2. Act on confirmed openings</t>
        </is>
      </c>
      <c r="B5" s="4" t="inlineStr">
        <is>
          <t>Start with the Dashboard urgent-actions section. Rolling or early-close roles should be submitted as soon as materials are ready.</t>
        </is>
      </c>
      <c r="C5" s="2" t="n"/>
      <c r="D5" s="2" t="n"/>
      <c r="E5" s="2" t="n"/>
      <c r="F5" s="2" t="n"/>
      <c r="G5" s="2" t="n"/>
      <c r="H5" s="2" t="n"/>
    </row>
    <row r="6">
      <c r="A6" s="13" t="inlineStr">
        <is>
          <t>3. Treat confidence labels seriously</t>
        </is>
      </c>
      <c r="B6" s="4" t="inlineStr">
        <is>
          <t>Confirmed means the employer has published 2027 information. Monitoring or prior-cycle entries are planning aids, not confirmed deadlines.</t>
        </is>
      </c>
      <c r="C6" s="2" t="n"/>
      <c r="D6" s="2" t="n"/>
      <c r="E6" s="2" t="n"/>
      <c r="F6" s="2" t="n"/>
      <c r="G6" s="2" t="n"/>
      <c r="H6" s="2" t="n"/>
    </row>
    <row r="7">
      <c r="A7" s="13" t="inlineStr">
        <is>
          <t>4. Update pipeline status</t>
        </is>
      </c>
      <c r="B7" s="4" t="inlineStr">
        <is>
          <t>Use Interested, Preparing, Applied, Testing, Interviewing, Offer, Rejected or Closed in the Application Pipeline sheet.</t>
        </is>
      </c>
      <c r="C7" s="2" t="n"/>
      <c r="D7" s="2" t="n"/>
      <c r="E7" s="2" t="n"/>
      <c r="F7" s="2" t="n"/>
      <c r="G7" s="2" t="n"/>
      <c r="H7" s="2" t="n"/>
    </row>
    <row r="8">
      <c r="A8" s="13" t="inlineStr">
        <is>
          <t>5. Prepare documents</t>
        </is>
      </c>
      <c r="B8" s="4" t="inlineStr">
        <is>
          <t>Use Document Checklist to maintain category-specific CVs, transcript, work-right evidence and assessment preparation.</t>
        </is>
      </c>
      <c r="C8" s="2" t="n"/>
      <c r="D8" s="2" t="n"/>
      <c r="E8" s="2" t="n"/>
      <c r="F8" s="2" t="n"/>
      <c r="G8" s="2" t="n"/>
      <c r="H8" s="2" t="n"/>
    </row>
    <row r="9">
      <c r="A9" s="13" t="inlineStr">
        <is>
          <t>6. Weekly reminder</t>
        </is>
      </c>
      <c r="B9" s="4" t="inlineStr">
        <is>
          <t>The Skywork automation runs every Monday at 9:00 AM Hong Kong time and should report new openings, deadline changes and required actions.</t>
        </is>
      </c>
      <c r="C9" s="2" t="n"/>
      <c r="D9" s="2" t="n"/>
      <c r="E9" s="2" t="n"/>
      <c r="F9" s="2" t="n"/>
      <c r="G9" s="2" t="n"/>
      <c r="H9" s="2" t="n"/>
    </row>
    <row r="10">
      <c r="A10" s="13" t="inlineStr">
        <is>
          <t>7. Verify before applying</t>
        </is>
      </c>
      <c r="B10" s="4" t="inlineStr">
        <is>
          <t>Open the official source link and reconfirm title, location, deadline time zone, eligibility and required documents immediately before submission.</t>
        </is>
      </c>
      <c r="C10" s="2" t="n"/>
      <c r="D10" s="2" t="n"/>
      <c r="E10" s="2" t="n"/>
      <c r="F10" s="2" t="n"/>
      <c r="G10" s="2" t="n"/>
      <c r="H10" s="2" t="n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2026-07-15T06:26:49Z</dcterms:created>
  <dcterms:modified xmlns:dcterms="http://purl.org/dc/terms/" xmlns:xsi="http://www.w3.org/2001/XMLSchema-instance" xsi:type="dcterms:W3CDTF">2026-07-15T06:26:49Z</dcterms:modified>
</cp:coreProperties>
</file>